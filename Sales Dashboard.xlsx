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cer\Documents\"/>
    </mc:Choice>
  </mc:AlternateContent>
  <xr:revisionPtr revIDLastSave="0" documentId="13_ncr:1_{0C35922E-20C8-4B5B-8543-F35C5BB9D2D6}" xr6:coauthVersionLast="47" xr6:coauthVersionMax="47" xr10:uidLastSave="{00000000-0000-0000-0000-000000000000}"/>
  <bookViews>
    <workbookView xWindow="-108" yWindow="-108" windowWidth="23256" windowHeight="12576" xr2:uid="{8E3B3524-A163-492C-8868-636B26F56F49}"/>
  </bookViews>
  <sheets>
    <sheet name="Sheet1" sheetId="3" r:id="rId1"/>
    <sheet name="Sales persons" sheetId="1" r:id="rId2"/>
    <sheet name="Pivot Table" sheetId="2" r:id="rId3"/>
  </sheets>
  <definedNames>
    <definedName name="Slicer_Product">#N/A</definedName>
    <definedName name="Slicer_Region">#N/A</definedName>
    <definedName name="Slicer_Sales_Person">#N/A</definedName>
    <definedName name="Slicer_Units_Sol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 i="1" l="1"/>
  <c r="M8" i="1"/>
  <c r="M6" i="1"/>
  <c r="M4" i="1"/>
  <c r="I3" i="1"/>
  <c r="I4" i="1"/>
  <c r="I5" i="1"/>
  <c r="I6" i="1"/>
  <c r="I7" i="1"/>
  <c r="I8" i="1"/>
  <c r="I9" i="1"/>
  <c r="I10" i="1"/>
  <c r="I11" i="1"/>
  <c r="I12" i="1"/>
  <c r="I13" i="1"/>
  <c r="I14" i="1"/>
  <c r="I15" i="1"/>
  <c r="I16" i="1"/>
  <c r="I17" i="1"/>
  <c r="I18" i="1"/>
  <c r="I19" i="1"/>
  <c r="I20" i="1"/>
  <c r="I21" i="1"/>
  <c r="I22" i="1"/>
  <c r="I23" i="1"/>
  <c r="I24" i="1"/>
  <c r="I25" i="1"/>
  <c r="I26" i="1"/>
  <c r="I27" i="1"/>
  <c r="I2" i="1"/>
  <c r="H27" i="1"/>
  <c r="H3" i="1"/>
  <c r="H4" i="1"/>
  <c r="H5" i="1"/>
  <c r="H6" i="1"/>
  <c r="H7" i="1"/>
  <c r="H8" i="1"/>
  <c r="H9" i="1"/>
  <c r="H10" i="1"/>
  <c r="H11" i="1"/>
  <c r="H12" i="1"/>
  <c r="H13" i="1"/>
  <c r="H14" i="1"/>
  <c r="H15" i="1"/>
  <c r="H16" i="1"/>
  <c r="H17" i="1"/>
  <c r="H18" i="1"/>
  <c r="H19" i="1"/>
  <c r="H20" i="1"/>
  <c r="H21" i="1"/>
  <c r="H22" i="1"/>
  <c r="H23" i="1"/>
  <c r="H24" i="1"/>
  <c r="H25" i="1"/>
  <c r="H26" i="1"/>
  <c r="H2" i="1"/>
</calcChain>
</file>

<file path=xl/sharedStrings.xml><?xml version="1.0" encoding="utf-8"?>
<sst xmlns="http://schemas.openxmlformats.org/spreadsheetml/2006/main" count="150" uniqueCount="60">
  <si>
    <t>Data</t>
  </si>
  <si>
    <t>Sales Person</t>
  </si>
  <si>
    <t>Region</t>
  </si>
  <si>
    <t>Units Sold</t>
  </si>
  <si>
    <t>Unit Price</t>
  </si>
  <si>
    <t>Cost of Goods</t>
  </si>
  <si>
    <t>Total States</t>
  </si>
  <si>
    <t>Ramya</t>
  </si>
  <si>
    <t>Priya</t>
  </si>
  <si>
    <t>Product</t>
  </si>
  <si>
    <t>west</t>
  </si>
  <si>
    <t>Tent</t>
  </si>
  <si>
    <t>Aloce</t>
  </si>
  <si>
    <t>Alice</t>
  </si>
  <si>
    <t>Joes</t>
  </si>
  <si>
    <t>Jhon</t>
  </si>
  <si>
    <t>Dhinesh Kumar</t>
  </si>
  <si>
    <t>Prathiyumanan</t>
  </si>
  <si>
    <t>Vaishnavi</t>
  </si>
  <si>
    <t>Shalini</t>
  </si>
  <si>
    <t>Subalakshmi</t>
  </si>
  <si>
    <t>Henny</t>
  </si>
  <si>
    <t>Balu</t>
  </si>
  <si>
    <t>Fazil</t>
  </si>
  <si>
    <t>Bengamin</t>
  </si>
  <si>
    <t>Gopal</t>
  </si>
  <si>
    <t>Dheena</t>
  </si>
  <si>
    <t>Rohit Sharma</t>
  </si>
  <si>
    <t>Virat Kholi</t>
  </si>
  <si>
    <t>Anushka</t>
  </si>
  <si>
    <t>Vishalini</t>
  </si>
  <si>
    <t>Rathi Sri</t>
  </si>
  <si>
    <t>Oviya</t>
  </si>
  <si>
    <t>Kamali</t>
  </si>
  <si>
    <t>Pragadish</t>
  </si>
  <si>
    <t>Surya kumar</t>
  </si>
  <si>
    <t>North</t>
  </si>
  <si>
    <t>South</t>
  </si>
  <si>
    <t>East</t>
  </si>
  <si>
    <t>south</t>
  </si>
  <si>
    <t>east</t>
  </si>
  <si>
    <t>north</t>
  </si>
  <si>
    <t>novel</t>
  </si>
  <si>
    <t>soap</t>
  </si>
  <si>
    <t>tent</t>
  </si>
  <si>
    <t>blavour</t>
  </si>
  <si>
    <t>paste</t>
  </si>
  <si>
    <t>Sneakers</t>
  </si>
  <si>
    <t>Action Figure</t>
  </si>
  <si>
    <t>Moistures</t>
  </si>
  <si>
    <t>Blenders</t>
  </si>
  <si>
    <t>Profit</t>
  </si>
  <si>
    <t>Grant Total</t>
  </si>
  <si>
    <t>Unit sold</t>
  </si>
  <si>
    <t>Total Profit</t>
  </si>
  <si>
    <t>Average Sales</t>
  </si>
  <si>
    <t>Row Labels</t>
  </si>
  <si>
    <t>Grand Total</t>
  </si>
  <si>
    <t>Sum of Total States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</si>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</sst>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s. &quot;\ ###,##0"/>
    <numFmt numFmtId="165" formatCode="&quot;Rs .&quot;\ ###,##0"/>
    <numFmt numFmtId="166" formatCode="&quot;Rs. &quot;\ #,###,&quot;L&quot;"/>
    <numFmt numFmtId="167" formatCode="\ ###,##0"/>
  </numFmts>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12" fontId="0" fillId="0" borderId="0" xfId="0" applyNumberFormat="1" applyAlignment="1">
      <alignment horizontal="center"/>
    </xf>
    <xf numFmtId="164" fontId="0" fillId="0" borderId="0" xfId="0" applyNumberFormat="1" applyAlignment="1">
      <alignment horizontal="center"/>
    </xf>
    <xf numFmtId="164" fontId="0" fillId="0" borderId="0" xfId="0" applyNumberFormat="1"/>
    <xf numFmtId="165" fontId="0" fillId="0" borderId="0" xfId="0" applyNumberFormat="1" applyAlignment="1">
      <alignment horizontal="center"/>
    </xf>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applyAlignment="1">
      <alignment horizontal="center"/>
    </xf>
  </cellXfs>
  <cellStyles count="1">
    <cellStyle name="Normal" xfId="0" builtinId="0"/>
  </cellStyles>
  <dxfs count="11">
    <dxf>
      <numFmt numFmtId="165" formatCode="&quot;Rs .&quot;\ ###,##0"/>
      <alignment horizontal="center" vertical="bottom" textRotation="0" wrapText="0" indent="0" justifyLastLine="0" shrinkToFit="0" readingOrder="0"/>
    </dxf>
    <dxf>
      <numFmt numFmtId="164" formatCode="&quot;Rs. &quot;\ ###,##0"/>
      <alignment horizontal="center" vertical="bottom" textRotation="0" wrapText="0" indent="0" justifyLastLine="0" shrinkToFit="0" readingOrder="0"/>
    </dxf>
    <dxf>
      <numFmt numFmtId="164" formatCode="&quot;Rs. &quot;\ ###,##0"/>
      <alignment horizontal="center" vertical="bottom" textRotation="0" wrapText="0" indent="0" justifyLastLine="0" shrinkToFit="0" readingOrder="0"/>
    </dxf>
    <dxf>
      <numFmt numFmtId="164" formatCode="&quot;Rs. &quot;\ ###,##0"/>
      <alignment horizontal="center" vertical="bottom" textRotation="0" wrapText="0" indent="0" justifyLastLine="0" shrinkToFit="0" readingOrder="0"/>
    </dxf>
    <dxf>
      <numFmt numFmtId="164" formatCode="&quot;Rs. &quot;\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8052092446777504"/>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4812554680665014E-2"/>
              <c:y val="-0.2453357392825897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3.9479221347331582E-2"/>
              <c:y val="-0.2175579615048119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1.5704286964129484E-3"/>
              <c:y val="-0.1018172207640711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2812554680664915E-2"/>
              <c:y val="-0.1434838874307378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639E-2"/>
              <c:y val="-0.1157061096529600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8052092446777504"/>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2812554680664915E-2"/>
              <c:y val="-0.1434838874307378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639E-2"/>
              <c:y val="-0.1157061096529600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4812554680665014E-2"/>
              <c:y val="-0.2453357392825897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3.9479221347331582E-2"/>
              <c:y val="-0.2175579615048119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1.5704286964129484E-3"/>
              <c:y val="-0.1018172207640711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6.4479221347331583E-2"/>
              <c:y val="-0.18052092446777504"/>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7.2812554680664915E-2"/>
              <c:y val="-0.14348388743073781"/>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6.4479221347331639E-2"/>
              <c:y val="-0.11570610965296005"/>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6.4479221347331583E-2"/>
              <c:y val="-0.1110764800233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7.4812554680665014E-2"/>
              <c:y val="-0.24533573928258975"/>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3.9479221347331582E-2"/>
              <c:y val="-0.21755796150481191"/>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Lbl>
          <c:idx val="0"/>
          <c:layout>
            <c:manualLayout>
              <c:x val="-1.5704286964129484E-3"/>
              <c:y val="-0.10181722076407115"/>
            </c:manualLayout>
          </c:layout>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64301725191007E-2"/>
          <c:y val="7.279008492732883E-2"/>
          <c:w val="0.91904999786473973"/>
          <c:h val="0.79081802274715662"/>
        </c:manualLayout>
      </c:layout>
      <c:lineChart>
        <c:grouping val="standard"/>
        <c:varyColors val="0"/>
        <c:ser>
          <c:idx val="0"/>
          <c:order val="0"/>
          <c:tx>
            <c:strRef>
              <c:f>'Pivot Table'!$N$1</c:f>
              <c:strCache>
                <c:ptCount val="1"/>
                <c:pt idx="0">
                  <c:v>Total</c:v>
                </c:pt>
              </c:strCache>
            </c:strRef>
          </c:tx>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dPt>
            <c:idx val="1"/>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0-BDF5-4B00-9DD7-11CD3A6F2303}"/>
              </c:ext>
            </c:extLst>
          </c:dPt>
          <c:dPt>
            <c:idx val="2"/>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1-BDF5-4B00-9DD7-11CD3A6F2303}"/>
              </c:ext>
            </c:extLst>
          </c:dPt>
          <c:dPt>
            <c:idx val="3"/>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2-BDF5-4B00-9DD7-11CD3A6F2303}"/>
              </c:ext>
            </c:extLst>
          </c:dPt>
          <c:dPt>
            <c:idx val="4"/>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3-BDF5-4B00-9DD7-11CD3A6F2303}"/>
              </c:ext>
            </c:extLst>
          </c:dPt>
          <c:dPt>
            <c:idx val="5"/>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4-BDF5-4B00-9DD7-11CD3A6F2303}"/>
              </c:ext>
            </c:extLst>
          </c:dPt>
          <c:dPt>
            <c:idx val="7"/>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5-BDF5-4B00-9DD7-11CD3A6F2303}"/>
              </c:ext>
            </c:extLst>
          </c:dPt>
          <c:dPt>
            <c:idx val="8"/>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854200">
                    <a:schemeClr val="accent1">
                      <a:alpha val="2000"/>
                    </a:schemeClr>
                  </a:glow>
                  <a:outerShdw dist="19050" sx="1000" sy="1000" algn="ctr" rotWithShape="0">
                    <a:srgbClr val="000000">
                      <a:alpha val="0"/>
                    </a:srgbClr>
                  </a:outerShdw>
                </a:effectLst>
              </c:spPr>
            </c:marker>
            <c:bubble3D val="0"/>
            <c:spPr>
              <a:ln w="12700" cap="sq">
                <a:solidFill>
                  <a:srgbClr val="92D050"/>
                </a:solidFill>
                <a:bevel/>
                <a:headEnd type="triangle" w="sm" len="sm"/>
              </a:ln>
              <a:effectLst>
                <a:glow rad="1854200">
                  <a:schemeClr val="accent1">
                    <a:alpha val="2000"/>
                  </a:schemeClr>
                </a:glow>
                <a:outerShdw dist="19050" sx="1000" sy="1000" algn="ctr" rotWithShape="0">
                  <a:srgbClr val="000000">
                    <a:alpha val="0"/>
                  </a:srgbClr>
                </a:outerShdw>
              </a:effectLst>
            </c:spPr>
            <c:extLst>
              <c:ext xmlns:c16="http://schemas.microsoft.com/office/drawing/2014/chart" uri="{C3380CC4-5D6E-409C-BE32-E72D297353CC}">
                <c16:uniqueId val="{00000006-BDF5-4B00-9DD7-11CD3A6F2303}"/>
              </c:ext>
            </c:extLst>
          </c:dPt>
          <c:dLbls>
            <c:dLbl>
              <c:idx val="1"/>
              <c:layout>
                <c:manualLayout>
                  <c:x val="-6.4479221347331583E-2"/>
                  <c:y val="-0.180520924467775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F5-4B00-9DD7-11CD3A6F2303}"/>
                </c:ext>
              </c:extLst>
            </c:dLbl>
            <c:dLbl>
              <c:idx val="2"/>
              <c:layout>
                <c:manualLayout>
                  <c:x val="-7.2812554680664915E-2"/>
                  <c:y val="-0.143483887430737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F5-4B00-9DD7-11CD3A6F2303}"/>
                </c:ext>
              </c:extLst>
            </c:dLbl>
            <c:dLbl>
              <c:idx val="3"/>
              <c:layout>
                <c:manualLayout>
                  <c:x val="-6.4479221347331639E-2"/>
                  <c:y val="-0.115706109652960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F5-4B00-9DD7-11CD3A6F2303}"/>
                </c:ext>
              </c:extLst>
            </c:dLbl>
            <c:dLbl>
              <c:idx val="4"/>
              <c:layout>
                <c:manualLayout>
                  <c:x val="-6.4479221347331583E-2"/>
                  <c:y val="-0.1110764800233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F5-4B00-9DD7-11CD3A6F2303}"/>
                </c:ext>
              </c:extLst>
            </c:dLbl>
            <c:dLbl>
              <c:idx val="5"/>
              <c:layout>
                <c:manualLayout>
                  <c:x val="-7.4812554680665014E-2"/>
                  <c:y val="-0.245335739282589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F5-4B00-9DD7-11CD3A6F2303}"/>
                </c:ext>
              </c:extLst>
            </c:dLbl>
            <c:dLbl>
              <c:idx val="7"/>
              <c:layout>
                <c:manualLayout>
                  <c:x val="-3.9479221347331582E-2"/>
                  <c:y val="-0.21755796150481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F5-4B00-9DD7-11CD3A6F2303}"/>
                </c:ext>
              </c:extLst>
            </c:dLbl>
            <c:dLbl>
              <c:idx val="8"/>
              <c:layout>
                <c:manualLayout>
                  <c:x val="-1.5704286964129484E-3"/>
                  <c:y val="-0.101817220764071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F5-4B00-9DD7-11CD3A6F2303}"/>
                </c:ext>
              </c:extLst>
            </c:dLbl>
            <c:spPr>
              <a:no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mpd="tri">
                      <a:solidFill>
                        <a:schemeClr val="tx1">
                          <a:alpha val="27000"/>
                        </a:schemeClr>
                      </a:solidFill>
                      <a:prstDash val="solid"/>
                      <a:miter lim="800000"/>
                      <a:headEnd type="none" w="sm" len="sm"/>
                      <a:tailEnd type="none" w="sm" len="sm"/>
                    </a:ln>
                    <a:effectLst>
                      <a:glow>
                        <a:schemeClr val="tx1"/>
                      </a:glow>
                    </a:effectLst>
                  </c:spPr>
                </c15:leaderLines>
              </c:ext>
            </c:extLst>
          </c:dLbls>
          <c:cat>
            <c:strRef>
              <c:f>'Pivot Table'!$M$2:$M$11</c:f>
              <c:strCache>
                <c:ptCount val="9"/>
                <c:pt idx="0">
                  <c:v>Action Figure</c:v>
                </c:pt>
                <c:pt idx="1">
                  <c:v>blavour</c:v>
                </c:pt>
                <c:pt idx="2">
                  <c:v>Blenders</c:v>
                </c:pt>
                <c:pt idx="3">
                  <c:v>Moistures</c:v>
                </c:pt>
                <c:pt idx="4">
                  <c:v>novel</c:v>
                </c:pt>
                <c:pt idx="5">
                  <c:v>paste</c:v>
                </c:pt>
                <c:pt idx="6">
                  <c:v>Sneakers</c:v>
                </c:pt>
                <c:pt idx="7">
                  <c:v>soap</c:v>
                </c:pt>
                <c:pt idx="8">
                  <c:v>Tent</c:v>
                </c:pt>
              </c:strCache>
            </c:strRef>
          </c:cat>
          <c:val>
            <c:numRef>
              <c:f>'Pivot Table'!$N$2:$N$11</c:f>
              <c:numCache>
                <c:formatCode>"Rs. "\ ###,##0</c:formatCode>
                <c:ptCount val="9"/>
                <c:pt idx="0">
                  <c:v>398</c:v>
                </c:pt>
                <c:pt idx="1">
                  <c:v>110</c:v>
                </c:pt>
                <c:pt idx="2">
                  <c:v>356</c:v>
                </c:pt>
                <c:pt idx="3">
                  <c:v>375</c:v>
                </c:pt>
                <c:pt idx="4">
                  <c:v>490</c:v>
                </c:pt>
                <c:pt idx="5">
                  <c:v>51</c:v>
                </c:pt>
                <c:pt idx="6">
                  <c:v>1018</c:v>
                </c:pt>
                <c:pt idx="7">
                  <c:v>136</c:v>
                </c:pt>
                <c:pt idx="8">
                  <c:v>175</c:v>
                </c:pt>
              </c:numCache>
            </c:numRef>
          </c:val>
          <c:smooth val="0"/>
          <c:extLst>
            <c:ext xmlns:c16="http://schemas.microsoft.com/office/drawing/2014/chart" uri="{C3380CC4-5D6E-409C-BE32-E72D297353CC}">
              <c16:uniqueId val="{00000007-BDF5-4B00-9DD7-11CD3A6F2303}"/>
            </c:ext>
          </c:extLst>
        </c:ser>
        <c:dLbls>
          <c:dLblPos val="t"/>
          <c:showLegendKey val="0"/>
          <c:showVal val="1"/>
          <c:showCatName val="0"/>
          <c:showSerName val="0"/>
          <c:showPercent val="0"/>
          <c:showBubbleSize val="0"/>
        </c:dLbls>
        <c:marker val="1"/>
        <c:smooth val="0"/>
        <c:axId val="566122528"/>
        <c:axId val="566127568"/>
      </c:lineChart>
      <c:catAx>
        <c:axId val="56612252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a:outerShdw blurRad="50800" dist="63500" dir="5400000" algn="ctr" rotWithShape="0">
              <a:schemeClr val="bg1"/>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127568"/>
        <c:crosses val="autoZero"/>
        <c:auto val="1"/>
        <c:lblAlgn val="ctr"/>
        <c:lblOffset val="100"/>
        <c:noMultiLvlLbl val="0"/>
      </c:catAx>
      <c:valAx>
        <c:axId val="566127568"/>
        <c:scaling>
          <c:orientation val="minMax"/>
        </c:scaling>
        <c:delete val="1"/>
        <c:axPos val="l"/>
        <c:numFmt formatCode="&quot;Rs. &quot;\ ###,##0" sourceLinked="1"/>
        <c:majorTickMark val="out"/>
        <c:minorTickMark val="none"/>
        <c:tickLblPos val="nextTo"/>
        <c:crossAx val="566122528"/>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77777777777776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027777777777778"/>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611111111111111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8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6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11111111111111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27777777777778"/>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6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11111111111111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27777777777778"/>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360151714365"/>
          <c:y val="8.7684224894120691E-4"/>
          <c:w val="0.4844691024112045"/>
          <c:h val="0.97462168509548541"/>
        </c:manualLayout>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3C-4F30-805C-1FE3430AFC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3C-4F30-805C-1FE3430AFC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3C-4F30-805C-1FE3430AFC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3C-4F30-805C-1FE3430AFCE4}"/>
              </c:ext>
            </c:extLst>
          </c:dPt>
          <c:dLbls>
            <c:dLbl>
              <c:idx val="0"/>
              <c:layout>
                <c:manualLayout>
                  <c:x val="0.1583333333333333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3C-4F30-805C-1FE3430AFCE4}"/>
                </c:ext>
              </c:extLst>
            </c:dLbl>
            <c:dLbl>
              <c:idx val="1"/>
              <c:layout>
                <c:manualLayout>
                  <c:x val="0.12777777777777768"/>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3C-4F30-805C-1FE3430AFCE4}"/>
                </c:ext>
              </c:extLst>
            </c:dLbl>
            <c:dLbl>
              <c:idx val="2"/>
              <c:layout>
                <c:manualLayout>
                  <c:x val="-0.1611111111111111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3C-4F30-805C-1FE3430AFCE4}"/>
                </c:ext>
              </c:extLst>
            </c:dLbl>
            <c:dLbl>
              <c:idx val="3"/>
              <c:layout>
                <c:manualLayout>
                  <c:x val="-0.1027777777777778"/>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3C-4F30-805C-1FE3430AFC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"Rs. "\ #,###,"L"</c:formatCode>
                <c:ptCount val="4"/>
                <c:pt idx="0">
                  <c:v>2144800</c:v>
                </c:pt>
                <c:pt idx="1">
                  <c:v>2097200</c:v>
                </c:pt>
                <c:pt idx="2">
                  <c:v>1813400</c:v>
                </c:pt>
                <c:pt idx="3">
                  <c:v>2782800</c:v>
                </c:pt>
              </c:numCache>
            </c:numRef>
          </c:val>
          <c:extLst>
            <c:ext xmlns:c16="http://schemas.microsoft.com/office/drawing/2014/chart" uri="{C3380CC4-5D6E-409C-BE32-E72D297353CC}">
              <c16:uniqueId val="{00000008-653C-4F30-805C-1FE3430AFCE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6.0517604218391668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6.0517604218391668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868554469432862E-2"/>
              <c:y val="-0.13148072266716335"/>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9124302112034608"/>
          <c:y val="4.185695660271932E-2"/>
          <c:w val="0.80636554820318818"/>
          <c:h val="0.88988988988988993"/>
        </c:manualLayout>
      </c:layout>
      <c:barChart>
        <c:barDir val="bar"/>
        <c:grouping val="clustered"/>
        <c:varyColors val="0"/>
        <c:ser>
          <c:idx val="0"/>
          <c:order val="0"/>
          <c:tx>
            <c:strRef>
              <c:f>'Pivot Table'!$F$1</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0-FF75-46D7-836F-BB99558157A5}"/>
              </c:ext>
            </c:extLst>
          </c:dPt>
          <c:dLbls>
            <c:dLbl>
              <c:idx val="4"/>
              <c:layout>
                <c:manualLayout>
                  <c:x val="-2.4868554469432862E-2"/>
                  <c:y val="-0.13148072266716335"/>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FF75-46D7-836F-BB99558157A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Table'!$E$2:$E$11</c:f>
              <c:strCache>
                <c:ptCount val="9"/>
                <c:pt idx="0">
                  <c:v>Action Figure</c:v>
                </c:pt>
                <c:pt idx="1">
                  <c:v>blavour</c:v>
                </c:pt>
                <c:pt idx="2">
                  <c:v>Blenders</c:v>
                </c:pt>
                <c:pt idx="3">
                  <c:v>Moistures</c:v>
                </c:pt>
                <c:pt idx="4">
                  <c:v>novel</c:v>
                </c:pt>
                <c:pt idx="5">
                  <c:v>paste</c:v>
                </c:pt>
                <c:pt idx="6">
                  <c:v>Sneakers</c:v>
                </c:pt>
                <c:pt idx="7">
                  <c:v>soap</c:v>
                </c:pt>
                <c:pt idx="8">
                  <c:v>Tent</c:v>
                </c:pt>
              </c:strCache>
            </c:strRef>
          </c:cat>
          <c:val>
            <c:numRef>
              <c:f>'Pivot Table'!$F$2:$F$11</c:f>
              <c:numCache>
                <c:formatCode>"Rs. "\ #,###,"L"</c:formatCode>
                <c:ptCount val="9"/>
                <c:pt idx="0">
                  <c:v>1710000</c:v>
                </c:pt>
                <c:pt idx="1">
                  <c:v>440000</c:v>
                </c:pt>
                <c:pt idx="2">
                  <c:v>1273200</c:v>
                </c:pt>
                <c:pt idx="3">
                  <c:v>214600</c:v>
                </c:pt>
                <c:pt idx="4">
                  <c:v>3197000</c:v>
                </c:pt>
                <c:pt idx="5">
                  <c:v>61200</c:v>
                </c:pt>
                <c:pt idx="6">
                  <c:v>1184000</c:v>
                </c:pt>
                <c:pt idx="7">
                  <c:v>163200</c:v>
                </c:pt>
                <c:pt idx="8">
                  <c:v>595000</c:v>
                </c:pt>
              </c:numCache>
            </c:numRef>
          </c:val>
          <c:extLst>
            <c:ext xmlns:c16="http://schemas.microsoft.com/office/drawing/2014/chart" uri="{C3380CC4-5D6E-409C-BE32-E72D297353CC}">
              <c16:uniqueId val="{00000001-FF75-46D7-836F-BB99558157A5}"/>
            </c:ext>
          </c:extLst>
        </c:ser>
        <c:dLbls>
          <c:showLegendKey val="0"/>
          <c:showVal val="0"/>
          <c:showCatName val="0"/>
          <c:showSerName val="0"/>
          <c:showPercent val="0"/>
          <c:showBubbleSize val="0"/>
        </c:dLbls>
        <c:gapWidth val="143"/>
        <c:axId val="421447096"/>
        <c:axId val="421446016"/>
      </c:barChart>
      <c:catAx>
        <c:axId val="421447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46016"/>
        <c:crosses val="autoZero"/>
        <c:auto val="1"/>
        <c:lblAlgn val="ctr"/>
        <c:lblOffset val="100"/>
        <c:noMultiLvlLbl val="0"/>
      </c:catAx>
      <c:valAx>
        <c:axId val="421446016"/>
        <c:scaling>
          <c:orientation val="minMax"/>
        </c:scaling>
        <c:delete val="1"/>
        <c:axPos val="b"/>
        <c:numFmt formatCode="&quot;Rs. &quot;\ #,###,&quot;L&quot;" sourceLinked="1"/>
        <c:majorTickMark val="out"/>
        <c:minorTickMark val="none"/>
        <c:tickLblPos val="nextTo"/>
        <c:crossAx val="42144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66666666666676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666666666666676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 \ #,###,&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dLbl>
          <c:idx val="0"/>
          <c:numFmt formatCode="\ \ #,###,&quot;L&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8267834215709634E-2"/>
                  <c:h val="0.15223137467859171"/>
                </c:manualLayout>
              </c15:layout>
            </c:ext>
          </c:extLst>
        </c:dLbl>
      </c:pivotFmt>
    </c:pivotFmts>
    <c:plotArea>
      <c:layout>
        <c:manualLayout>
          <c:layoutTarget val="inner"/>
          <c:xMode val="edge"/>
          <c:yMode val="edge"/>
          <c:x val="5.9081936365994465E-2"/>
          <c:y val="0.10461245839277224"/>
          <c:w val="0.93858179787828033"/>
          <c:h val="0.66444000134790571"/>
        </c:manualLayout>
      </c:layout>
      <c:barChart>
        <c:barDir val="col"/>
        <c:grouping val="clustered"/>
        <c:varyColors val="0"/>
        <c:ser>
          <c:idx val="0"/>
          <c:order val="0"/>
          <c:tx>
            <c:strRef>
              <c:f>'Pivot Table'!$K$1</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4-51DC-4253-92B1-804616EAA5CF}"/>
              </c:ext>
            </c:extLst>
          </c:dPt>
          <c:dLbls>
            <c:dLbl>
              <c:idx val="2"/>
              <c:numFmt formatCode="\ \ #,###,&quot;L&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8267834215709634E-2"/>
                      <c:h val="0.15223137467859171"/>
                    </c:manualLayout>
                  </c15:layout>
                </c:ext>
                <c:ext xmlns:c16="http://schemas.microsoft.com/office/drawing/2014/chart" uri="{C3380CC4-5D6E-409C-BE32-E72D297353CC}">
                  <c16:uniqueId val="{00000004-51DC-4253-92B1-804616EAA5CF}"/>
                </c:ext>
              </c:extLst>
            </c:dLbl>
            <c:numFmt formatCode="\ \ #,###,&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Table'!$J$2:$J$27</c:f>
              <c:strCache>
                <c:ptCount val="25"/>
                <c:pt idx="0">
                  <c:v>Alice</c:v>
                </c:pt>
                <c:pt idx="1">
                  <c:v>Aloce</c:v>
                </c:pt>
                <c:pt idx="2">
                  <c:v>Anushka</c:v>
                </c:pt>
                <c:pt idx="3">
                  <c:v>Bengamin</c:v>
                </c:pt>
                <c:pt idx="4">
                  <c:v>Dheena</c:v>
                </c:pt>
                <c:pt idx="5">
                  <c:v>Dhinesh Kumar</c:v>
                </c:pt>
                <c:pt idx="6">
                  <c:v>Fazil</c:v>
                </c:pt>
                <c:pt idx="7">
                  <c:v>Gopal</c:v>
                </c:pt>
                <c:pt idx="8">
                  <c:v>Henny</c:v>
                </c:pt>
                <c:pt idx="9">
                  <c:v>Jhon</c:v>
                </c:pt>
                <c:pt idx="10">
                  <c:v>Joes</c:v>
                </c:pt>
                <c:pt idx="11">
                  <c:v>Kamali</c:v>
                </c:pt>
                <c:pt idx="12">
                  <c:v>Oviya</c:v>
                </c:pt>
                <c:pt idx="13">
                  <c:v>Pragadish</c:v>
                </c:pt>
                <c:pt idx="14">
                  <c:v>Prathiyumanan</c:v>
                </c:pt>
                <c:pt idx="15">
                  <c:v>Priya</c:v>
                </c:pt>
                <c:pt idx="16">
                  <c:v>Ramya</c:v>
                </c:pt>
                <c:pt idx="17">
                  <c:v>Rathi Sri</c:v>
                </c:pt>
                <c:pt idx="18">
                  <c:v>Rohit Sharma</c:v>
                </c:pt>
                <c:pt idx="19">
                  <c:v>Shalini</c:v>
                </c:pt>
                <c:pt idx="20">
                  <c:v>Subalakshmi</c:v>
                </c:pt>
                <c:pt idx="21">
                  <c:v>Surya kumar</c:v>
                </c:pt>
                <c:pt idx="22">
                  <c:v>Vaishnavi</c:v>
                </c:pt>
                <c:pt idx="23">
                  <c:v>Virat Kholi</c:v>
                </c:pt>
                <c:pt idx="24">
                  <c:v>Vishalini</c:v>
                </c:pt>
              </c:strCache>
            </c:strRef>
          </c:cat>
          <c:val>
            <c:numRef>
              <c:f>'Pivot Table'!$K$2:$K$27</c:f>
              <c:numCache>
                <c:formatCode>"Rs. "\ #,###,"L"</c:formatCode>
                <c:ptCount val="25"/>
                <c:pt idx="0">
                  <c:v>448000</c:v>
                </c:pt>
                <c:pt idx="1">
                  <c:v>504000</c:v>
                </c:pt>
                <c:pt idx="2">
                  <c:v>92000</c:v>
                </c:pt>
                <c:pt idx="3">
                  <c:v>53200</c:v>
                </c:pt>
                <c:pt idx="4">
                  <c:v>249000</c:v>
                </c:pt>
                <c:pt idx="5">
                  <c:v>798000</c:v>
                </c:pt>
                <c:pt idx="6">
                  <c:v>20800</c:v>
                </c:pt>
                <c:pt idx="7">
                  <c:v>1015000</c:v>
                </c:pt>
                <c:pt idx="8">
                  <c:v>137000</c:v>
                </c:pt>
                <c:pt idx="9">
                  <c:v>61200</c:v>
                </c:pt>
                <c:pt idx="10">
                  <c:v>440000</c:v>
                </c:pt>
                <c:pt idx="11">
                  <c:v>816000</c:v>
                </c:pt>
                <c:pt idx="12">
                  <c:v>68400</c:v>
                </c:pt>
                <c:pt idx="13">
                  <c:v>364000</c:v>
                </c:pt>
                <c:pt idx="14">
                  <c:v>876000</c:v>
                </c:pt>
                <c:pt idx="15">
                  <c:v>91000</c:v>
                </c:pt>
                <c:pt idx="16">
                  <c:v>163200</c:v>
                </c:pt>
                <c:pt idx="17">
                  <c:v>412000</c:v>
                </c:pt>
                <c:pt idx="18">
                  <c:v>364000</c:v>
                </c:pt>
                <c:pt idx="19">
                  <c:v>312000</c:v>
                </c:pt>
                <c:pt idx="20">
                  <c:v>660000</c:v>
                </c:pt>
                <c:pt idx="21">
                  <c:v>58000</c:v>
                </c:pt>
                <c:pt idx="22">
                  <c:v>60600</c:v>
                </c:pt>
                <c:pt idx="23">
                  <c:v>64800</c:v>
                </c:pt>
                <c:pt idx="24">
                  <c:v>710000</c:v>
                </c:pt>
              </c:numCache>
            </c:numRef>
          </c:val>
          <c:extLst>
            <c:ext xmlns:c16="http://schemas.microsoft.com/office/drawing/2014/chart" uri="{C3380CC4-5D6E-409C-BE32-E72D297353CC}">
              <c16:uniqueId val="{00000003-51DC-4253-92B1-804616EAA5CF}"/>
            </c:ext>
          </c:extLst>
        </c:ser>
        <c:dLbls>
          <c:showLegendKey val="0"/>
          <c:showVal val="0"/>
          <c:showCatName val="0"/>
          <c:showSerName val="0"/>
          <c:showPercent val="0"/>
          <c:showBubbleSize val="0"/>
        </c:dLbls>
        <c:gapWidth val="67"/>
        <c:overlap val="-71"/>
        <c:axId val="566125408"/>
        <c:axId val="566118208"/>
      </c:barChart>
      <c:catAx>
        <c:axId val="566125408"/>
        <c:scaling>
          <c:orientation val="minMax"/>
        </c:scaling>
        <c:delete val="0"/>
        <c:axPos val="b"/>
        <c:numFmt formatCode="General" sourceLinked="1"/>
        <c:majorTickMark val="out"/>
        <c:minorTickMark val="in"/>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66118208"/>
        <c:crosses val="autoZero"/>
        <c:auto val="1"/>
        <c:lblAlgn val="ctr"/>
        <c:lblOffset val="100"/>
        <c:noMultiLvlLbl val="0"/>
      </c:catAx>
      <c:valAx>
        <c:axId val="566118208"/>
        <c:scaling>
          <c:orientation val="minMax"/>
        </c:scaling>
        <c:delete val="1"/>
        <c:axPos val="l"/>
        <c:numFmt formatCode="&quot;Rs. &quot;\ #,###,&quot;L&quot;" sourceLinked="1"/>
        <c:majorTickMark val="out"/>
        <c:minorTickMark val="none"/>
        <c:tickLblPos val="nextTo"/>
        <c:crossAx val="56612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Total</a:t>
            </a:r>
            <a:r>
              <a:rPr lang="en-IN" baseline="0">
                <a:solidFill>
                  <a:srgbClr val="FF0000"/>
                </a:solidFill>
              </a:rPr>
              <a:t> Sales by Region</a:t>
            </a:r>
            <a:endParaRPr lang="en-IN">
              <a:solidFill>
                <a:srgbClr val="FF0000"/>
              </a:solidFill>
            </a:endParaRPr>
          </a:p>
        </c:rich>
      </c:tx>
      <c:layout>
        <c:manualLayout>
          <c:xMode val="edge"/>
          <c:yMode val="edge"/>
          <c:x val="0.2803123359580052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77777777777776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027777777777778"/>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8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8CF-4C51-9788-D2CC743992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8CF-4C51-9788-D2CC743992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CF-4C51-9788-D2CC743992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58CF-4C51-9788-D2CC7439923B}"/>
              </c:ext>
            </c:extLst>
          </c:dPt>
          <c:dLbls>
            <c:dLbl>
              <c:idx val="0"/>
              <c:layout>
                <c:manualLayout>
                  <c:x val="0.1583333333333333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CF-4C51-9788-D2CC7439923B}"/>
                </c:ext>
              </c:extLst>
            </c:dLbl>
            <c:dLbl>
              <c:idx val="1"/>
              <c:layout>
                <c:manualLayout>
                  <c:x val="0.12777777777777768"/>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CF-4C51-9788-D2CC7439923B}"/>
                </c:ext>
              </c:extLst>
            </c:dLbl>
            <c:dLbl>
              <c:idx val="2"/>
              <c:layout>
                <c:manualLayout>
                  <c:x val="0.1583333333333333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CF-4C51-9788-D2CC7439923B}"/>
                </c:ext>
              </c:extLst>
            </c:dLbl>
            <c:dLbl>
              <c:idx val="3"/>
              <c:layout>
                <c:manualLayout>
                  <c:x val="-0.1027777777777778"/>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CF-4C51-9788-D2CC743992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"Rs. "\ #,###,"L"</c:formatCode>
                <c:ptCount val="4"/>
                <c:pt idx="0">
                  <c:v>2144800</c:v>
                </c:pt>
                <c:pt idx="1">
                  <c:v>2097200</c:v>
                </c:pt>
                <c:pt idx="2">
                  <c:v>1813400</c:v>
                </c:pt>
                <c:pt idx="3">
                  <c:v>2782800</c:v>
                </c:pt>
              </c:numCache>
            </c:numRef>
          </c:val>
          <c:extLst>
            <c:ext xmlns:c16="http://schemas.microsoft.com/office/drawing/2014/chart" uri="{C3380CC4-5D6E-409C-BE32-E72D297353CC}">
              <c16:uniqueId val="{00000000-58CF-4C51-9788-D2CC7439923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layout>
            <c:manualLayout>
              <c:x val="0"/>
              <c:y val="-6.05176042183916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0"/>
              <c:y val="-6.05176042183916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6233554725847063"/>
          <c:y val="3.003003003003003E-2"/>
          <c:w val="0.80636554820318818"/>
          <c:h val="0.88988988988988993"/>
        </c:manualLayout>
      </c:layout>
      <c:barChart>
        <c:barDir val="bar"/>
        <c:grouping val="clustered"/>
        <c:varyColors val="0"/>
        <c:ser>
          <c:idx val="0"/>
          <c:order val="0"/>
          <c:tx>
            <c:strRef>
              <c:f>'Pivot Table'!$F$1</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2-1C2B-4A2B-9ED5-2575609BB056}"/>
              </c:ext>
            </c:extLst>
          </c:dPt>
          <c:dPt>
            <c:idx val="6"/>
            <c:invertIfNegative val="0"/>
            <c:bubble3D val="0"/>
          </c:dPt>
          <c:dLbls>
            <c:dLbl>
              <c:idx val="6"/>
              <c:layout>
                <c:manualLayout>
                  <c:x val="0"/>
                  <c:y val="-6.05176042183916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8"/>
              <c:layout>
                <c:manualLayout>
                  <c:x val="0"/>
                  <c:y val="-6.05176042183916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30E9-468C-8712-FEB77F76C2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Table'!$E$2:$E$11</c:f>
              <c:strCache>
                <c:ptCount val="9"/>
                <c:pt idx="0">
                  <c:v>Action Figure</c:v>
                </c:pt>
                <c:pt idx="1">
                  <c:v>blavour</c:v>
                </c:pt>
                <c:pt idx="2">
                  <c:v>Blenders</c:v>
                </c:pt>
                <c:pt idx="3">
                  <c:v>Moistures</c:v>
                </c:pt>
                <c:pt idx="4">
                  <c:v>novel</c:v>
                </c:pt>
                <c:pt idx="5">
                  <c:v>paste</c:v>
                </c:pt>
                <c:pt idx="6">
                  <c:v>Sneakers</c:v>
                </c:pt>
                <c:pt idx="7">
                  <c:v>soap</c:v>
                </c:pt>
                <c:pt idx="8">
                  <c:v>Tent</c:v>
                </c:pt>
              </c:strCache>
            </c:strRef>
          </c:cat>
          <c:val>
            <c:numRef>
              <c:f>'Pivot Table'!$F$2:$F$11</c:f>
              <c:numCache>
                <c:formatCode>"Rs. "\ #,###,"L"</c:formatCode>
                <c:ptCount val="9"/>
                <c:pt idx="0">
                  <c:v>1710000</c:v>
                </c:pt>
                <c:pt idx="1">
                  <c:v>440000</c:v>
                </c:pt>
                <c:pt idx="2">
                  <c:v>1273200</c:v>
                </c:pt>
                <c:pt idx="3">
                  <c:v>214600</c:v>
                </c:pt>
                <c:pt idx="4">
                  <c:v>3197000</c:v>
                </c:pt>
                <c:pt idx="5">
                  <c:v>61200</c:v>
                </c:pt>
                <c:pt idx="6">
                  <c:v>1184000</c:v>
                </c:pt>
                <c:pt idx="7">
                  <c:v>163200</c:v>
                </c:pt>
                <c:pt idx="8">
                  <c:v>595000</c:v>
                </c:pt>
              </c:numCache>
            </c:numRef>
          </c:val>
          <c:extLst>
            <c:ext xmlns:c16="http://schemas.microsoft.com/office/drawing/2014/chart" uri="{C3380CC4-5D6E-409C-BE32-E72D297353CC}">
              <c16:uniqueId val="{00000000-1C2B-4A2B-9ED5-2575609BB056}"/>
            </c:ext>
          </c:extLst>
        </c:ser>
        <c:dLbls>
          <c:showLegendKey val="0"/>
          <c:showVal val="0"/>
          <c:showCatName val="0"/>
          <c:showSerName val="0"/>
          <c:showPercent val="0"/>
          <c:showBubbleSize val="0"/>
        </c:dLbls>
        <c:gapWidth val="143"/>
        <c:axId val="421447096"/>
        <c:axId val="421446016"/>
      </c:barChart>
      <c:catAx>
        <c:axId val="421447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46016"/>
        <c:crosses val="autoZero"/>
        <c:auto val="1"/>
        <c:lblAlgn val="ctr"/>
        <c:lblOffset val="100"/>
        <c:noMultiLvlLbl val="0"/>
      </c:catAx>
      <c:valAx>
        <c:axId val="421446016"/>
        <c:scaling>
          <c:orientation val="minMax"/>
        </c:scaling>
        <c:delete val="1"/>
        <c:axPos val="b"/>
        <c:numFmt formatCode="&quot;Rs. &quot;\ #,###,&quot;L&quot;" sourceLinked="1"/>
        <c:majorTickMark val="out"/>
        <c:minorTickMark val="none"/>
        <c:tickLblPos val="nextTo"/>
        <c:crossAx val="42144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66666666666676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5914168010024991E-18"/>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7222222222222221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81936365994465E-2"/>
          <c:y val="0.10461245839277224"/>
          <c:w val="0.93858179787828033"/>
          <c:h val="0.66444000134790571"/>
        </c:manualLayout>
      </c:layout>
      <c:barChart>
        <c:barDir val="col"/>
        <c:grouping val="clustered"/>
        <c:varyColors val="0"/>
        <c:ser>
          <c:idx val="0"/>
          <c:order val="0"/>
          <c:tx>
            <c:strRef>
              <c:f>'Pivot Table'!$K$1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EDCD-45AC-9D72-2AFB692E473E}"/>
              </c:ext>
            </c:extLst>
          </c:dPt>
          <c:dPt>
            <c:idx val="1"/>
            <c:invertIfNegative val="0"/>
            <c:bubble3D val="0"/>
            <c:extLst>
              <c:ext xmlns:c16="http://schemas.microsoft.com/office/drawing/2014/chart" uri="{C3380CC4-5D6E-409C-BE32-E72D297353CC}">
                <c16:uniqueId val="{00000003-EDCD-45AC-9D72-2AFB692E473E}"/>
              </c:ext>
            </c:extLst>
          </c:dPt>
          <c:dPt>
            <c:idx val="2"/>
            <c:invertIfNegative val="0"/>
            <c:bubble3D val="0"/>
            <c:extLst>
              <c:ext xmlns:c16="http://schemas.microsoft.com/office/drawing/2014/chart" uri="{C3380CC4-5D6E-409C-BE32-E72D297353CC}">
                <c16:uniqueId val="{00000006-542D-47F1-A656-3F84C423B763}"/>
              </c:ext>
            </c:extLst>
          </c:dPt>
          <c:dPt>
            <c:idx val="4"/>
            <c:invertIfNegative val="0"/>
            <c:bubble3D val="0"/>
            <c:extLst>
              <c:ext xmlns:c16="http://schemas.microsoft.com/office/drawing/2014/chart" uri="{C3380CC4-5D6E-409C-BE32-E72D297353CC}">
                <c16:uniqueId val="{00000007-542D-47F1-A656-3F84C423B763}"/>
              </c:ext>
            </c:extLst>
          </c:dPt>
          <c:dPt>
            <c:idx val="8"/>
            <c:invertIfNegative val="0"/>
            <c:bubble3D val="0"/>
            <c:spPr>
              <a:solidFill>
                <a:schemeClr val="accent1"/>
              </a:solidFill>
              <a:ln>
                <a:noFill/>
              </a:ln>
              <a:effectLst/>
            </c:spPr>
          </c:dPt>
          <c:dPt>
            <c:idx val="9"/>
            <c:invertIfNegative val="0"/>
            <c:bubble3D val="0"/>
            <c:spPr>
              <a:solidFill>
                <a:schemeClr val="accent1"/>
              </a:solidFill>
              <a:ln>
                <a:noFill/>
              </a:ln>
              <a:effectLst/>
            </c:spPr>
          </c:dPt>
          <c:dPt>
            <c:idx val="23"/>
            <c:invertIfNegative val="0"/>
            <c:bubble3D val="0"/>
            <c:extLst>
              <c:ext xmlns:c16="http://schemas.microsoft.com/office/drawing/2014/chart" uri="{C3380CC4-5D6E-409C-BE32-E72D297353CC}">
                <c16:uniqueId val="{00000000-E957-4404-BDFA-EB2A286A5BC8}"/>
              </c:ext>
            </c:extLst>
          </c:dPt>
          <c:dLbls>
            <c:dLbl>
              <c:idx val="0"/>
              <c:layout>
                <c:manualLayout>
                  <c:x val="-1.5914168010024991E-18"/>
                  <c:y val="-0.115740740740740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CD-45AC-9D72-2AFB692E473E}"/>
                </c:ext>
              </c:extLst>
            </c:dLbl>
            <c:dLbl>
              <c:idx val="1"/>
              <c:layout>
                <c:manualLayout>
                  <c:x val="4.722222222222222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CD-45AC-9D72-2AFB692E473E}"/>
                </c:ext>
              </c:extLst>
            </c:dLbl>
            <c:dLbl>
              <c:idx val="2"/>
              <c:layout>
                <c:manualLayout>
                  <c:x val="-1.5914168010024991E-18"/>
                  <c:y val="-0.115740740740740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2D-47F1-A656-3F84C423B763}"/>
                </c:ext>
              </c:extLst>
            </c:dLbl>
            <c:dLbl>
              <c:idx val="4"/>
              <c:layout>
                <c:manualLayout>
                  <c:x val="4.722222222222222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2D-47F1-A656-3F84C423B763}"/>
                </c:ext>
              </c:extLst>
            </c:dLbl>
            <c:dLbl>
              <c:idx val="8"/>
              <c:layout>
                <c:manualLayout>
                  <c:x val="-1.5914168010024991E-18"/>
                  <c:y val="-0.11574074074074078"/>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9"/>
              <c:layout>
                <c:manualLayout>
                  <c:x val="4.722222222222222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3"/>
              <c:layout>
                <c:manualLayout>
                  <c:x val="-1.5914168010024991E-18"/>
                  <c:y val="-0.11574074074074078"/>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7"/>
              <c:layout>
                <c:manualLayout>
                  <c:x val="4.722222222222222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3"/>
              <c:layout>
                <c:manualLayout>
                  <c:x val="1.6666666666666767E-2"/>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57-4404-BDFA-EB2A286A5B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Table'!$J$2:$J$27</c:f>
              <c:strCache>
                <c:ptCount val="25"/>
                <c:pt idx="0">
                  <c:v>Alice</c:v>
                </c:pt>
                <c:pt idx="1">
                  <c:v>Aloce</c:v>
                </c:pt>
                <c:pt idx="2">
                  <c:v>Anushka</c:v>
                </c:pt>
                <c:pt idx="3">
                  <c:v>Bengamin</c:v>
                </c:pt>
                <c:pt idx="4">
                  <c:v>Dheena</c:v>
                </c:pt>
                <c:pt idx="5">
                  <c:v>Dhinesh Kumar</c:v>
                </c:pt>
                <c:pt idx="6">
                  <c:v>Fazil</c:v>
                </c:pt>
                <c:pt idx="7">
                  <c:v>Gopal</c:v>
                </c:pt>
                <c:pt idx="8">
                  <c:v>Henny</c:v>
                </c:pt>
                <c:pt idx="9">
                  <c:v>Jhon</c:v>
                </c:pt>
                <c:pt idx="10">
                  <c:v>Joes</c:v>
                </c:pt>
                <c:pt idx="11">
                  <c:v>Kamali</c:v>
                </c:pt>
                <c:pt idx="12">
                  <c:v>Oviya</c:v>
                </c:pt>
                <c:pt idx="13">
                  <c:v>Pragadish</c:v>
                </c:pt>
                <c:pt idx="14">
                  <c:v>Prathiyumanan</c:v>
                </c:pt>
                <c:pt idx="15">
                  <c:v>Priya</c:v>
                </c:pt>
                <c:pt idx="16">
                  <c:v>Ramya</c:v>
                </c:pt>
                <c:pt idx="17">
                  <c:v>Rathi Sri</c:v>
                </c:pt>
                <c:pt idx="18">
                  <c:v>Rohit Sharma</c:v>
                </c:pt>
                <c:pt idx="19">
                  <c:v>Shalini</c:v>
                </c:pt>
                <c:pt idx="20">
                  <c:v>Subalakshmi</c:v>
                </c:pt>
                <c:pt idx="21">
                  <c:v>Surya kumar</c:v>
                </c:pt>
                <c:pt idx="22">
                  <c:v>Vaishnavi</c:v>
                </c:pt>
                <c:pt idx="23">
                  <c:v>Virat Kholi</c:v>
                </c:pt>
                <c:pt idx="24">
                  <c:v>Vishalini</c:v>
                </c:pt>
              </c:strCache>
            </c:strRef>
          </c:cat>
          <c:val>
            <c:numRef>
              <c:f>'Pivot Table'!$K$2:$K$27</c:f>
              <c:numCache>
                <c:formatCode>"Rs. "\ #,###,"L"</c:formatCode>
                <c:ptCount val="25"/>
                <c:pt idx="0">
                  <c:v>448000</c:v>
                </c:pt>
                <c:pt idx="1">
                  <c:v>504000</c:v>
                </c:pt>
                <c:pt idx="2">
                  <c:v>92000</c:v>
                </c:pt>
                <c:pt idx="3">
                  <c:v>53200</c:v>
                </c:pt>
                <c:pt idx="4">
                  <c:v>249000</c:v>
                </c:pt>
                <c:pt idx="5">
                  <c:v>798000</c:v>
                </c:pt>
                <c:pt idx="6">
                  <c:v>20800</c:v>
                </c:pt>
                <c:pt idx="7">
                  <c:v>1015000</c:v>
                </c:pt>
                <c:pt idx="8">
                  <c:v>137000</c:v>
                </c:pt>
                <c:pt idx="9">
                  <c:v>61200</c:v>
                </c:pt>
                <c:pt idx="10">
                  <c:v>440000</c:v>
                </c:pt>
                <c:pt idx="11">
                  <c:v>816000</c:v>
                </c:pt>
                <c:pt idx="12">
                  <c:v>68400</c:v>
                </c:pt>
                <c:pt idx="13">
                  <c:v>364000</c:v>
                </c:pt>
                <c:pt idx="14">
                  <c:v>876000</c:v>
                </c:pt>
                <c:pt idx="15">
                  <c:v>91000</c:v>
                </c:pt>
                <c:pt idx="16">
                  <c:v>163200</c:v>
                </c:pt>
                <c:pt idx="17">
                  <c:v>412000</c:v>
                </c:pt>
                <c:pt idx="18">
                  <c:v>364000</c:v>
                </c:pt>
                <c:pt idx="19">
                  <c:v>312000</c:v>
                </c:pt>
                <c:pt idx="20">
                  <c:v>660000</c:v>
                </c:pt>
                <c:pt idx="21">
                  <c:v>58000</c:v>
                </c:pt>
                <c:pt idx="22">
                  <c:v>60600</c:v>
                </c:pt>
                <c:pt idx="23">
                  <c:v>64800</c:v>
                </c:pt>
                <c:pt idx="24">
                  <c:v>710000</c:v>
                </c:pt>
              </c:numCache>
            </c:numRef>
          </c:val>
          <c:extLst>
            <c:ext xmlns:c16="http://schemas.microsoft.com/office/drawing/2014/chart" uri="{C3380CC4-5D6E-409C-BE32-E72D297353CC}">
              <c16:uniqueId val="{00000000-EDCD-45AC-9D72-2AFB692E473E}"/>
            </c:ext>
          </c:extLst>
        </c:ser>
        <c:dLbls>
          <c:showLegendKey val="0"/>
          <c:showVal val="0"/>
          <c:showCatName val="0"/>
          <c:showSerName val="0"/>
          <c:showPercent val="0"/>
          <c:showBubbleSize val="0"/>
        </c:dLbls>
        <c:gapWidth val="265"/>
        <c:overlap val="-27"/>
        <c:axId val="566125408"/>
        <c:axId val="566118208"/>
      </c:barChart>
      <c:catAx>
        <c:axId val="566125408"/>
        <c:scaling>
          <c:orientation val="minMax"/>
        </c:scaling>
        <c:delete val="0"/>
        <c:axPos val="b"/>
        <c:numFmt formatCode="General" sourceLinked="1"/>
        <c:majorTickMark val="out"/>
        <c:minorTickMark val="in"/>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66118208"/>
        <c:crosses val="autoZero"/>
        <c:auto val="1"/>
        <c:lblAlgn val="ctr"/>
        <c:lblOffset val="100"/>
        <c:noMultiLvlLbl val="0"/>
      </c:catAx>
      <c:valAx>
        <c:axId val="566118208"/>
        <c:scaling>
          <c:orientation val="minMax"/>
        </c:scaling>
        <c:delete val="1"/>
        <c:axPos val="l"/>
        <c:numFmt formatCode="&quot;Rs. &quot;\ #,###,&quot;L&quot;" sourceLinked="1"/>
        <c:majorTickMark val="out"/>
        <c:minorTickMark val="none"/>
        <c:tickLblPos val="nextTo"/>
        <c:crossAx val="56612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8052092446777504"/>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2812554680664915E-2"/>
              <c:y val="-0.1434838874307378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4812554680665014E-2"/>
              <c:y val="-0.24533573928258975"/>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8052092446777504"/>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2812554680664915E-2"/>
              <c:y val="-0.14348388743073781"/>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8052092446777504"/>
            </c:manualLayout>
          </c:layout>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02887139107614E-2"/>
          <c:y val="4.6296296296296294E-2"/>
          <c:w val="0.93888888888888888"/>
          <c:h val="0.79081802274715662"/>
        </c:manualLayout>
      </c:layout>
      <c:lineChart>
        <c:grouping val="standard"/>
        <c:varyColors val="0"/>
        <c:ser>
          <c:idx val="0"/>
          <c:order val="0"/>
          <c:tx>
            <c:strRef>
              <c:f>'Pivot Table'!$N$1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7F54-42D5-9168-6D9E3E2BAA04}"/>
              </c:ext>
            </c:extLst>
          </c:dPt>
          <c:dPt>
            <c:idx val="2"/>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F54-42D5-9168-6D9E3E2BAA04}"/>
              </c:ext>
            </c:extLst>
          </c:dPt>
          <c:dPt>
            <c:idx val="3"/>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7F54-42D5-9168-6D9E3E2BAA04}"/>
              </c:ext>
            </c:extLst>
          </c:dPt>
          <c:dPt>
            <c:idx val="4"/>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F54-42D5-9168-6D9E3E2BAA04}"/>
              </c:ext>
            </c:extLst>
          </c:dPt>
          <c:dPt>
            <c:idx val="5"/>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54-42D5-9168-6D9E3E2BAA04}"/>
              </c:ext>
            </c:extLst>
          </c:dPt>
          <c:dPt>
            <c:idx val="6"/>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0BF6-45EA-BA79-192D1C1B77C5}"/>
              </c:ext>
            </c:extLst>
          </c:dPt>
          <c:dPt>
            <c:idx val="7"/>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F54-42D5-9168-6D9E3E2BAA04}"/>
              </c:ext>
            </c:extLst>
          </c:dPt>
          <c:dPt>
            <c:idx val="8"/>
            <c:marker>
              <c:symbol val="circle"/>
              <c:size val="6"/>
              <c:spPr>
                <a:solidFill>
                  <a:schemeClr val="accent2">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7F54-42D5-9168-6D9E3E2BAA04}"/>
              </c:ext>
            </c:extLst>
          </c:dPt>
          <c:dLbls>
            <c:dLbl>
              <c:idx val="1"/>
              <c:layout>
                <c:manualLayout>
                  <c:x val="-6.4479221347331583E-2"/>
                  <c:y val="-0.180520924467775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54-42D5-9168-6D9E3E2BAA04}"/>
                </c:ext>
              </c:extLst>
            </c:dLbl>
            <c:dLbl>
              <c:idx val="2"/>
              <c:layout>
                <c:manualLayout>
                  <c:x val="-6.4479221347331583E-2"/>
                  <c:y val="-0.180520924467775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54-42D5-9168-6D9E3E2BAA04}"/>
                </c:ext>
              </c:extLst>
            </c:dLbl>
            <c:dLbl>
              <c:idx val="3"/>
              <c:layout>
                <c:manualLayout>
                  <c:x val="-7.2812554680664915E-2"/>
                  <c:y val="-0.143483887430737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54-42D5-9168-6D9E3E2BAA04}"/>
                </c:ext>
              </c:extLst>
            </c:dLbl>
            <c:dLbl>
              <c:idx val="4"/>
              <c:layout>
                <c:manualLayout>
                  <c:x val="-6.4479221347331583E-2"/>
                  <c:y val="-0.180520924467775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54-42D5-9168-6D9E3E2BAA04}"/>
                </c:ext>
              </c:extLst>
            </c:dLbl>
            <c:dLbl>
              <c:idx val="5"/>
              <c:layout>
                <c:manualLayout>
                  <c:x val="-7.2812554680664915E-2"/>
                  <c:y val="-0.143483887430737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54-42D5-9168-6D9E3E2BAA04}"/>
                </c:ext>
              </c:extLst>
            </c:dLbl>
            <c:dLbl>
              <c:idx val="6"/>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F6-45EA-BA79-192D1C1B77C5}"/>
                </c:ext>
              </c:extLst>
            </c:dLbl>
            <c:dLbl>
              <c:idx val="7"/>
              <c:layout>
                <c:manualLayout>
                  <c:x val="-7.4812554680665014E-2"/>
                  <c:y val="-0.245335739282589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54-42D5-9168-6D9E3E2BAA04}"/>
                </c:ext>
              </c:extLst>
            </c:dLbl>
            <c:dLbl>
              <c:idx val="8"/>
              <c:layout>
                <c:manualLayout>
                  <c:x val="-6.4479221347331583E-2"/>
                  <c:y val="-0.1110764800233305"/>
                </c:manualLayout>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54-42D5-9168-6D9E3E2BAA04}"/>
                </c:ext>
              </c:extLst>
            </c:dLbl>
            <c:spPr>
              <a:solidFill>
                <a:schemeClr val="accent1">
                  <a:lumMod val="75000"/>
                </a:schemeClr>
              </a:solidFill>
              <a:ln w="22225">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a:glow>
                        <a:schemeClr val="bg2"/>
                      </a:glow>
                    </a:effectLst>
                  </c:spPr>
                </c15:leaderLines>
              </c:ext>
            </c:extLst>
          </c:dLbls>
          <c:cat>
            <c:strRef>
              <c:f>'Pivot Table'!$M$2:$M$11</c:f>
              <c:strCache>
                <c:ptCount val="9"/>
                <c:pt idx="0">
                  <c:v>Action Figure</c:v>
                </c:pt>
                <c:pt idx="1">
                  <c:v>blavour</c:v>
                </c:pt>
                <c:pt idx="2">
                  <c:v>Blenders</c:v>
                </c:pt>
                <c:pt idx="3">
                  <c:v>Moistures</c:v>
                </c:pt>
                <c:pt idx="4">
                  <c:v>novel</c:v>
                </c:pt>
                <c:pt idx="5">
                  <c:v>paste</c:v>
                </c:pt>
                <c:pt idx="6">
                  <c:v>Sneakers</c:v>
                </c:pt>
                <c:pt idx="7">
                  <c:v>soap</c:v>
                </c:pt>
                <c:pt idx="8">
                  <c:v>Tent</c:v>
                </c:pt>
              </c:strCache>
            </c:strRef>
          </c:cat>
          <c:val>
            <c:numRef>
              <c:f>'Pivot Table'!$N$2:$N$11</c:f>
              <c:numCache>
                <c:formatCode>"Rs. "\ ###,##0</c:formatCode>
                <c:ptCount val="9"/>
                <c:pt idx="0">
                  <c:v>398</c:v>
                </c:pt>
                <c:pt idx="1">
                  <c:v>110</c:v>
                </c:pt>
                <c:pt idx="2">
                  <c:v>356</c:v>
                </c:pt>
                <c:pt idx="3">
                  <c:v>375</c:v>
                </c:pt>
                <c:pt idx="4">
                  <c:v>490</c:v>
                </c:pt>
                <c:pt idx="5">
                  <c:v>51</c:v>
                </c:pt>
                <c:pt idx="6">
                  <c:v>1018</c:v>
                </c:pt>
                <c:pt idx="7">
                  <c:v>136</c:v>
                </c:pt>
                <c:pt idx="8">
                  <c:v>175</c:v>
                </c:pt>
              </c:numCache>
            </c:numRef>
          </c:val>
          <c:smooth val="1"/>
          <c:extLst>
            <c:ext xmlns:c16="http://schemas.microsoft.com/office/drawing/2014/chart" uri="{C3380CC4-5D6E-409C-BE32-E72D297353CC}">
              <c16:uniqueId val="{00000000-7F54-42D5-9168-6D9E3E2BAA04}"/>
            </c:ext>
          </c:extLst>
        </c:ser>
        <c:dLbls>
          <c:dLblPos val="t"/>
          <c:showLegendKey val="0"/>
          <c:showVal val="1"/>
          <c:showCatName val="0"/>
          <c:showSerName val="0"/>
          <c:showPercent val="0"/>
          <c:showBubbleSize val="0"/>
        </c:dLbls>
        <c:marker val="1"/>
        <c:smooth val="0"/>
        <c:axId val="566122528"/>
        <c:axId val="566127568"/>
      </c:lineChart>
      <c:catAx>
        <c:axId val="56612252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a:outerShdw blurRad="50800" dist="63500" dir="5400000" algn="ctr" rotWithShape="0">
              <a:schemeClr val="bg1"/>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127568"/>
        <c:crosses val="autoZero"/>
        <c:auto val="1"/>
        <c:lblAlgn val="ctr"/>
        <c:lblOffset val="100"/>
        <c:noMultiLvlLbl val="0"/>
      </c:catAx>
      <c:valAx>
        <c:axId val="566127568"/>
        <c:scaling>
          <c:orientation val="minMax"/>
        </c:scaling>
        <c:delete val="1"/>
        <c:axPos val="l"/>
        <c:numFmt formatCode="&quot;Rs. &quot;\ ###,##0" sourceLinked="1"/>
        <c:majorTickMark val="out"/>
        <c:minorTickMark val="none"/>
        <c:tickLblPos val="nextTo"/>
        <c:crossAx val="566122528"/>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25</xdr:col>
      <xdr:colOff>21770</xdr:colOff>
      <xdr:row>5</xdr:row>
      <xdr:rowOff>73200</xdr:rowOff>
    </xdr:to>
    <xdr:sp macro="" textlink="">
      <xdr:nvSpPr>
        <xdr:cNvPr id="2" name="Rectangle: Rounded Corners 1">
          <a:extLst>
            <a:ext uri="{FF2B5EF4-FFF2-40B4-BE49-F238E27FC236}">
              <a16:creationId xmlns:a16="http://schemas.microsoft.com/office/drawing/2014/main" id="{27605BB2-D3B3-CACE-14E6-052BBF6CCA07}"/>
            </a:ext>
          </a:extLst>
        </xdr:cNvPr>
        <xdr:cNvSpPr/>
      </xdr:nvSpPr>
      <xdr:spPr>
        <a:xfrm>
          <a:off x="0" y="22860"/>
          <a:ext cx="16099970" cy="975626"/>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xdr:colOff>
      <xdr:row>6</xdr:row>
      <xdr:rowOff>0</xdr:rowOff>
    </xdr:from>
    <xdr:to>
      <xdr:col>1</xdr:col>
      <xdr:colOff>76200</xdr:colOff>
      <xdr:row>10</xdr:row>
      <xdr:rowOff>121920</xdr:rowOff>
    </xdr:to>
    <xdr:sp macro="" textlink="">
      <xdr:nvSpPr>
        <xdr:cNvPr id="6" name="Rectangle: Rounded Corners 5">
          <a:extLst>
            <a:ext uri="{FF2B5EF4-FFF2-40B4-BE49-F238E27FC236}">
              <a16:creationId xmlns:a16="http://schemas.microsoft.com/office/drawing/2014/main" id="{FF20806E-7335-F065-1840-CF3E00324BE1}"/>
            </a:ext>
          </a:extLst>
        </xdr:cNvPr>
        <xdr:cNvSpPr/>
      </xdr:nvSpPr>
      <xdr:spPr>
        <a:xfrm>
          <a:off x="38100" y="1097280"/>
          <a:ext cx="647700" cy="853440"/>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274320</xdr:colOff>
      <xdr:row>6</xdr:row>
      <xdr:rowOff>160020</xdr:rowOff>
    </xdr:from>
    <xdr:ext cx="1196340" cy="289560"/>
    <xdr:sp macro="" textlink="">
      <xdr:nvSpPr>
        <xdr:cNvPr id="7" name="TextBox 6">
          <a:extLst>
            <a:ext uri="{FF2B5EF4-FFF2-40B4-BE49-F238E27FC236}">
              <a16:creationId xmlns:a16="http://schemas.microsoft.com/office/drawing/2014/main" id="{9C45278F-2A38-6361-2ACC-015FA4A00273}"/>
            </a:ext>
          </a:extLst>
        </xdr:cNvPr>
        <xdr:cNvSpPr txBox="1"/>
      </xdr:nvSpPr>
      <xdr:spPr>
        <a:xfrm>
          <a:off x="883920" y="1257300"/>
          <a:ext cx="119634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accent1"/>
              </a:solidFill>
              <a:latin typeface="Times New Roman" panose="02020603050405020304" pitchFamily="18" charset="0"/>
              <a:cs typeface="Times New Roman" panose="02020603050405020304" pitchFamily="18" charset="0"/>
            </a:rPr>
            <a:t>TOTAL</a:t>
          </a:r>
          <a:r>
            <a:rPr lang="en-IN" sz="1100" b="1" baseline="0">
              <a:solidFill>
                <a:schemeClr val="accent1"/>
              </a:solidFill>
              <a:latin typeface="Times New Roman" panose="02020603050405020304" pitchFamily="18" charset="0"/>
              <a:cs typeface="Times New Roman" panose="02020603050405020304" pitchFamily="18" charset="0"/>
            </a:rPr>
            <a:t> SALES</a:t>
          </a:r>
          <a:endParaRPr lang="en-IN" sz="1100" b="1">
            <a:solidFill>
              <a:schemeClr val="accent1"/>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0</xdr:colOff>
      <xdr:row>6</xdr:row>
      <xdr:rowOff>0</xdr:rowOff>
    </xdr:from>
    <xdr:to>
      <xdr:col>3</xdr:col>
      <xdr:colOff>439200</xdr:colOff>
      <xdr:row>10</xdr:row>
      <xdr:rowOff>121920</xdr:rowOff>
    </xdr:to>
    <xdr:grpSp>
      <xdr:nvGrpSpPr>
        <xdr:cNvPr id="30" name="Group 29">
          <a:extLst>
            <a:ext uri="{FF2B5EF4-FFF2-40B4-BE49-F238E27FC236}">
              <a16:creationId xmlns:a16="http://schemas.microsoft.com/office/drawing/2014/main" id="{623A40A1-B0BB-3482-3FE4-6C86E3DB1675}"/>
            </a:ext>
          </a:extLst>
        </xdr:cNvPr>
        <xdr:cNvGrpSpPr/>
      </xdr:nvGrpSpPr>
      <xdr:grpSpPr>
        <a:xfrm>
          <a:off x="0" y="1097280"/>
          <a:ext cx="2268000" cy="853440"/>
          <a:chOff x="0" y="1097280"/>
          <a:chExt cx="2268000" cy="853440"/>
        </a:xfrm>
      </xdr:grpSpPr>
      <xdr:grpSp>
        <xdr:nvGrpSpPr>
          <xdr:cNvPr id="16" name="Group 15">
            <a:extLst>
              <a:ext uri="{FF2B5EF4-FFF2-40B4-BE49-F238E27FC236}">
                <a16:creationId xmlns:a16="http://schemas.microsoft.com/office/drawing/2014/main" id="{73D125EB-9513-875C-4DB7-1FA968B0FE98}"/>
              </a:ext>
            </a:extLst>
          </xdr:cNvPr>
          <xdr:cNvGrpSpPr/>
        </xdr:nvGrpSpPr>
        <xdr:grpSpPr>
          <a:xfrm>
            <a:off x="0" y="1097280"/>
            <a:ext cx="2268000" cy="853440"/>
            <a:chOff x="0" y="1097280"/>
            <a:chExt cx="2268000" cy="853440"/>
          </a:xfrm>
        </xdr:grpSpPr>
        <xdr:sp macro="" textlink="">
          <xdr:nvSpPr>
            <xdr:cNvPr id="5" name="Rectangle: Rounded Corners 4">
              <a:extLst>
                <a:ext uri="{FF2B5EF4-FFF2-40B4-BE49-F238E27FC236}">
                  <a16:creationId xmlns:a16="http://schemas.microsoft.com/office/drawing/2014/main" id="{FFAD23D5-A170-4434-A000-C57BEC31AEA8}"/>
                </a:ext>
              </a:extLst>
            </xdr:cNvPr>
            <xdr:cNvSpPr/>
          </xdr:nvSpPr>
          <xdr:spPr>
            <a:xfrm>
              <a:off x="0" y="1112520"/>
              <a:ext cx="2268000" cy="828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ales persons'!M4">
          <xdr:nvSpPr>
            <xdr:cNvPr id="8" name="TextBox 7">
              <a:extLst>
                <a:ext uri="{FF2B5EF4-FFF2-40B4-BE49-F238E27FC236}">
                  <a16:creationId xmlns:a16="http://schemas.microsoft.com/office/drawing/2014/main" id="{181FE590-5ACB-39B7-CF23-1004A65121F6}"/>
                </a:ext>
              </a:extLst>
            </xdr:cNvPr>
            <xdr:cNvSpPr txBox="1"/>
          </xdr:nvSpPr>
          <xdr:spPr>
            <a:xfrm>
              <a:off x="929640" y="150876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EFADBC4F-F77A-413D-8B31-1639840A5F88}" type="TxLink">
                <a:rPr lang="en-US" sz="1400" b="1" i="0" u="none" strike="noStrike">
                  <a:solidFill>
                    <a:schemeClr val="accent1">
                      <a:lumMod val="75000"/>
                    </a:schemeClr>
                  </a:solidFill>
                  <a:latin typeface="Times New Roman" panose="02020603050405020304" pitchFamily="18" charset="0"/>
                  <a:cs typeface="Times New Roman" panose="02020603050405020304" pitchFamily="18" charset="0"/>
                </a:rPr>
                <a:pPr algn="l"/>
                <a:t> 91,74,200</a:t>
              </a:fld>
              <a:endParaRPr lang="en-IN" sz="1400" b="1">
                <a:solidFill>
                  <a:schemeClr val="accent1">
                    <a:lumMod val="75000"/>
                  </a:schemeClr>
                </a:solidFill>
                <a:latin typeface="Times New Roman" panose="02020603050405020304" pitchFamily="18" charset="0"/>
                <a:cs typeface="Times New Roman" panose="02020603050405020304" pitchFamily="18" charset="0"/>
              </a:endParaRPr>
            </a:p>
          </xdr:txBody>
        </xdr:sp>
        <xdr:sp macro="" textlink="">
          <xdr:nvSpPr>
            <xdr:cNvPr id="14" name="Rectangle: Rounded Corners 13">
              <a:extLst>
                <a:ext uri="{FF2B5EF4-FFF2-40B4-BE49-F238E27FC236}">
                  <a16:creationId xmlns:a16="http://schemas.microsoft.com/office/drawing/2014/main" id="{DED2609F-5719-DF88-6A04-0D06E5BDAC30}"/>
                </a:ext>
              </a:extLst>
            </xdr:cNvPr>
            <xdr:cNvSpPr/>
          </xdr:nvSpPr>
          <xdr:spPr>
            <a:xfrm>
              <a:off x="15240" y="1097280"/>
              <a:ext cx="693420" cy="853440"/>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sp macro="" textlink="">
        <xdr:nvSpPr>
          <xdr:cNvPr id="15" name="TextBox 14">
            <a:extLst>
              <a:ext uri="{FF2B5EF4-FFF2-40B4-BE49-F238E27FC236}">
                <a16:creationId xmlns:a16="http://schemas.microsoft.com/office/drawing/2014/main" id="{1CFBE786-584A-F134-6031-CE3115171CF1}"/>
              </a:ext>
            </a:extLst>
          </xdr:cNvPr>
          <xdr:cNvSpPr txBox="1"/>
        </xdr:nvSpPr>
        <xdr:spPr>
          <a:xfrm>
            <a:off x="906780" y="1257300"/>
            <a:ext cx="119634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accent1"/>
                </a:solidFill>
                <a:latin typeface="Times New Roman" panose="02020603050405020304" pitchFamily="18" charset="0"/>
                <a:cs typeface="Times New Roman" panose="02020603050405020304" pitchFamily="18" charset="0"/>
              </a:rPr>
              <a:t>TOTAL</a:t>
            </a:r>
            <a:r>
              <a:rPr lang="en-IN" sz="1100" b="1" baseline="0">
                <a:solidFill>
                  <a:schemeClr val="accent1"/>
                </a:solidFill>
                <a:latin typeface="Times New Roman" panose="02020603050405020304" pitchFamily="18" charset="0"/>
                <a:cs typeface="Times New Roman" panose="02020603050405020304" pitchFamily="18" charset="0"/>
              </a:rPr>
              <a:t> SALES</a:t>
            </a:r>
            <a:endParaRPr lang="en-IN" sz="1100" b="1">
              <a:solidFill>
                <a:schemeClr val="accent1"/>
              </a:solidFill>
              <a:latin typeface="Times New Roman" panose="02020603050405020304" pitchFamily="18" charset="0"/>
              <a:cs typeface="Times New Roman" panose="02020603050405020304" pitchFamily="18" charset="0"/>
            </a:endParaRPr>
          </a:p>
        </xdr:txBody>
      </xdr:sp>
    </xdr:grpSp>
    <xdr:clientData/>
  </xdr:twoCellAnchor>
  <xdr:twoCellAnchor>
    <xdr:from>
      <xdr:col>3</xdr:col>
      <xdr:colOff>601979</xdr:colOff>
      <xdr:row>5</xdr:row>
      <xdr:rowOff>175260</xdr:rowOff>
    </xdr:from>
    <xdr:to>
      <xdr:col>16</xdr:col>
      <xdr:colOff>370114</xdr:colOff>
      <xdr:row>10</xdr:row>
      <xdr:rowOff>132907</xdr:rowOff>
    </xdr:to>
    <xdr:grpSp>
      <xdr:nvGrpSpPr>
        <xdr:cNvPr id="31" name="Group 30">
          <a:extLst>
            <a:ext uri="{FF2B5EF4-FFF2-40B4-BE49-F238E27FC236}">
              <a16:creationId xmlns:a16="http://schemas.microsoft.com/office/drawing/2014/main" id="{980D5DFE-838B-309A-35F5-58BAFBAAD3AE}"/>
            </a:ext>
          </a:extLst>
        </xdr:cNvPr>
        <xdr:cNvGrpSpPr/>
      </xdr:nvGrpSpPr>
      <xdr:grpSpPr>
        <a:xfrm>
          <a:off x="2430779" y="1089660"/>
          <a:ext cx="8531135" cy="872047"/>
          <a:chOff x="0" y="1089660"/>
          <a:chExt cx="7221000" cy="871706"/>
        </a:xfrm>
      </xdr:grpSpPr>
      <xdr:grpSp>
        <xdr:nvGrpSpPr>
          <xdr:cNvPr id="32" name="Group 31">
            <a:extLst>
              <a:ext uri="{FF2B5EF4-FFF2-40B4-BE49-F238E27FC236}">
                <a16:creationId xmlns:a16="http://schemas.microsoft.com/office/drawing/2014/main" id="{66BD541B-A317-5F9A-F8AC-1777E599226A}"/>
              </a:ext>
            </a:extLst>
          </xdr:cNvPr>
          <xdr:cNvGrpSpPr/>
        </xdr:nvGrpSpPr>
        <xdr:grpSpPr>
          <a:xfrm>
            <a:off x="0" y="1089660"/>
            <a:ext cx="7221000" cy="871706"/>
            <a:chOff x="0" y="1089660"/>
            <a:chExt cx="7221000" cy="871706"/>
          </a:xfrm>
        </xdr:grpSpPr>
        <xdr:sp macro="" textlink="">
          <xdr:nvSpPr>
            <xdr:cNvPr id="34" name="Rectangle: Rounded Corners 33">
              <a:extLst>
                <a:ext uri="{FF2B5EF4-FFF2-40B4-BE49-F238E27FC236}">
                  <a16:creationId xmlns:a16="http://schemas.microsoft.com/office/drawing/2014/main" id="{C35CCD26-ED23-BAEE-C7CA-BA47969AAF19}"/>
                </a:ext>
              </a:extLst>
            </xdr:cNvPr>
            <xdr:cNvSpPr/>
          </xdr:nvSpPr>
          <xdr:spPr>
            <a:xfrm>
              <a:off x="0" y="1112520"/>
              <a:ext cx="2268000" cy="828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6600850C-2420-029C-A36F-2DA3685F791A}"/>
                </a:ext>
              </a:extLst>
            </xdr:cNvPr>
            <xdr:cNvSpPr/>
          </xdr:nvSpPr>
          <xdr:spPr>
            <a:xfrm>
              <a:off x="15240" y="1089660"/>
              <a:ext cx="670560" cy="853440"/>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001215CB-8F8E-2BE7-B19E-635D63B5663B}"/>
                </a:ext>
              </a:extLst>
            </xdr:cNvPr>
            <xdr:cNvSpPr/>
          </xdr:nvSpPr>
          <xdr:spPr>
            <a:xfrm>
              <a:off x="4953000" y="1112520"/>
              <a:ext cx="2268000" cy="828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ales persons'!M6">
          <xdr:nvSpPr>
            <xdr:cNvPr id="54" name="TextBox 53">
              <a:extLst>
                <a:ext uri="{FF2B5EF4-FFF2-40B4-BE49-F238E27FC236}">
                  <a16:creationId xmlns:a16="http://schemas.microsoft.com/office/drawing/2014/main" id="{0C03E7B5-D7E3-D047-E726-7BDCEBA58DC2}"/>
                </a:ext>
              </a:extLst>
            </xdr:cNvPr>
            <xdr:cNvSpPr txBox="1"/>
          </xdr:nvSpPr>
          <xdr:spPr>
            <a:xfrm>
              <a:off x="5852160" y="1508760"/>
              <a:ext cx="1066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1EA5C2EC-980C-4F7A-A33E-F5D63AD6C88C}" type="TxLink">
                <a:rPr lang="en-US" sz="1400" b="1" i="0" u="none" strike="noStrike">
                  <a:solidFill>
                    <a:schemeClr val="accent1">
                      <a:lumMod val="75000"/>
                    </a:schemeClr>
                  </a:solidFill>
                  <a:latin typeface="Calibri"/>
                  <a:cs typeface="Calibri"/>
                </a:rPr>
                <a:pPr algn="l"/>
                <a:t> 3,205</a:t>
              </a:fld>
              <a:endParaRPr lang="en-IN" sz="1400" b="1">
                <a:solidFill>
                  <a:schemeClr val="accent1">
                    <a:lumMod val="75000"/>
                  </a:schemeClr>
                </a:solidFill>
                <a:latin typeface="Times New Roman" panose="02020603050405020304" pitchFamily="18" charset="0"/>
                <a:cs typeface="Times New Roman" panose="02020603050405020304" pitchFamily="18" charset="0"/>
              </a:endParaRPr>
            </a:p>
          </xdr:txBody>
        </xdr:sp>
        <xdr:sp macro="" textlink="">
          <xdr:nvSpPr>
            <xdr:cNvPr id="55" name="Rectangle: Rounded Corners 54">
              <a:extLst>
                <a:ext uri="{FF2B5EF4-FFF2-40B4-BE49-F238E27FC236}">
                  <a16:creationId xmlns:a16="http://schemas.microsoft.com/office/drawing/2014/main" id="{05F8E49B-CC69-2E27-37E2-8C74AD8BF8AC}"/>
                </a:ext>
              </a:extLst>
            </xdr:cNvPr>
            <xdr:cNvSpPr/>
          </xdr:nvSpPr>
          <xdr:spPr>
            <a:xfrm>
              <a:off x="4952507" y="1089660"/>
              <a:ext cx="686293" cy="871706"/>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sp macro="" textlink="">
        <xdr:nvSpPr>
          <xdr:cNvPr id="33" name="TextBox 32">
            <a:extLst>
              <a:ext uri="{FF2B5EF4-FFF2-40B4-BE49-F238E27FC236}">
                <a16:creationId xmlns:a16="http://schemas.microsoft.com/office/drawing/2014/main" id="{B21761FA-8833-6B7F-2CDD-A4151105A911}"/>
              </a:ext>
            </a:extLst>
          </xdr:cNvPr>
          <xdr:cNvSpPr txBox="1"/>
        </xdr:nvSpPr>
        <xdr:spPr>
          <a:xfrm>
            <a:off x="906780" y="1257300"/>
            <a:ext cx="129540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accent1"/>
                </a:solidFill>
                <a:latin typeface="Times New Roman" panose="02020603050405020304" pitchFamily="18" charset="0"/>
                <a:cs typeface="Times New Roman" panose="02020603050405020304" pitchFamily="18" charset="0"/>
              </a:rPr>
              <a:t>AVERAGE</a:t>
            </a:r>
            <a:r>
              <a:rPr lang="en-IN" sz="1000" b="1" baseline="0">
                <a:solidFill>
                  <a:schemeClr val="accent1"/>
                </a:solidFill>
                <a:latin typeface="Times New Roman" panose="02020603050405020304" pitchFamily="18" charset="0"/>
                <a:cs typeface="Times New Roman" panose="02020603050405020304" pitchFamily="18" charset="0"/>
              </a:rPr>
              <a:t> SCALE</a:t>
            </a:r>
            <a:endParaRPr lang="en-IN" sz="1000" b="1">
              <a:solidFill>
                <a:schemeClr val="accent1"/>
              </a:solidFill>
              <a:latin typeface="Times New Roman" panose="02020603050405020304" pitchFamily="18" charset="0"/>
              <a:cs typeface="Times New Roman" panose="02020603050405020304" pitchFamily="18" charset="0"/>
            </a:endParaRPr>
          </a:p>
        </xdr:txBody>
      </xdr:sp>
      <xdr:sp macro="" textlink="">
        <xdr:nvSpPr>
          <xdr:cNvPr id="44" name="TextBox 43">
            <a:extLst>
              <a:ext uri="{FF2B5EF4-FFF2-40B4-BE49-F238E27FC236}">
                <a16:creationId xmlns:a16="http://schemas.microsoft.com/office/drawing/2014/main" id="{122FC965-C8B2-18FD-2C76-5158751963CB}"/>
              </a:ext>
            </a:extLst>
          </xdr:cNvPr>
          <xdr:cNvSpPr txBox="1"/>
        </xdr:nvSpPr>
        <xdr:spPr>
          <a:xfrm>
            <a:off x="5981700" y="1257300"/>
            <a:ext cx="119634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a:solidFill>
                <a:schemeClr val="accent1"/>
              </a:solidFill>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26F51D0C-EDAF-3D30-DFDA-FC4CFBBAD056}"/>
              </a:ext>
            </a:extLst>
          </xdr:cNvPr>
          <xdr:cNvSpPr txBox="1"/>
        </xdr:nvSpPr>
        <xdr:spPr>
          <a:xfrm>
            <a:off x="5859780" y="1257300"/>
            <a:ext cx="119634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accent1"/>
                </a:solidFill>
                <a:latin typeface="Times New Roman" panose="02020603050405020304" pitchFamily="18" charset="0"/>
                <a:cs typeface="Times New Roman" panose="02020603050405020304" pitchFamily="18" charset="0"/>
              </a:rPr>
              <a:t>UNIT</a:t>
            </a:r>
            <a:r>
              <a:rPr lang="en-IN" sz="1100" b="1" baseline="0">
                <a:solidFill>
                  <a:schemeClr val="accent1"/>
                </a:solidFill>
                <a:latin typeface="Times New Roman" panose="02020603050405020304" pitchFamily="18" charset="0"/>
                <a:cs typeface="Times New Roman" panose="02020603050405020304" pitchFamily="18" charset="0"/>
              </a:rPr>
              <a:t> SOLD</a:t>
            </a:r>
            <a:endParaRPr lang="en-IN" sz="1100" b="1">
              <a:solidFill>
                <a:schemeClr val="accent1"/>
              </a:solidFill>
              <a:latin typeface="Times New Roman" panose="02020603050405020304" pitchFamily="18" charset="0"/>
              <a:cs typeface="Times New Roman" panose="02020603050405020304" pitchFamily="18" charset="0"/>
            </a:endParaRPr>
          </a:p>
        </xdr:txBody>
      </xdr:sp>
    </xdr:grpSp>
    <xdr:clientData/>
  </xdr:twoCellAnchor>
  <xdr:twoCellAnchor>
    <xdr:from>
      <xdr:col>8</xdr:col>
      <xdr:colOff>148680</xdr:colOff>
      <xdr:row>5</xdr:row>
      <xdr:rowOff>168349</xdr:rowOff>
    </xdr:from>
    <xdr:to>
      <xdr:col>11</xdr:col>
      <xdr:colOff>589650</xdr:colOff>
      <xdr:row>10</xdr:row>
      <xdr:rowOff>115186</xdr:rowOff>
    </xdr:to>
    <xdr:grpSp>
      <xdr:nvGrpSpPr>
        <xdr:cNvPr id="37" name="Group 36">
          <a:extLst>
            <a:ext uri="{FF2B5EF4-FFF2-40B4-BE49-F238E27FC236}">
              <a16:creationId xmlns:a16="http://schemas.microsoft.com/office/drawing/2014/main" id="{69A401FD-3982-7EF7-F33A-EDCD2586B78E}"/>
            </a:ext>
          </a:extLst>
        </xdr:cNvPr>
        <xdr:cNvGrpSpPr/>
      </xdr:nvGrpSpPr>
      <xdr:grpSpPr>
        <a:xfrm>
          <a:off x="5276940" y="1082749"/>
          <a:ext cx="2856510" cy="861237"/>
          <a:chOff x="-139" y="1079820"/>
          <a:chExt cx="2268139" cy="864266"/>
        </a:xfrm>
      </xdr:grpSpPr>
      <xdr:grpSp>
        <xdr:nvGrpSpPr>
          <xdr:cNvPr id="38" name="Group 37">
            <a:extLst>
              <a:ext uri="{FF2B5EF4-FFF2-40B4-BE49-F238E27FC236}">
                <a16:creationId xmlns:a16="http://schemas.microsoft.com/office/drawing/2014/main" id="{6A515CD1-8CE0-B12F-D5AC-AA6F6DD35480}"/>
              </a:ext>
            </a:extLst>
          </xdr:cNvPr>
          <xdr:cNvGrpSpPr/>
        </xdr:nvGrpSpPr>
        <xdr:grpSpPr>
          <a:xfrm>
            <a:off x="-139" y="1079820"/>
            <a:ext cx="2268139" cy="864266"/>
            <a:chOff x="-139" y="1079820"/>
            <a:chExt cx="2268139" cy="864266"/>
          </a:xfrm>
        </xdr:grpSpPr>
        <xdr:sp macro="" textlink="">
          <xdr:nvSpPr>
            <xdr:cNvPr id="40" name="Rectangle: Rounded Corners 39">
              <a:extLst>
                <a:ext uri="{FF2B5EF4-FFF2-40B4-BE49-F238E27FC236}">
                  <a16:creationId xmlns:a16="http://schemas.microsoft.com/office/drawing/2014/main" id="{DC3058D9-FCE2-AF19-1AFE-BE77E78F23AF}"/>
                </a:ext>
              </a:extLst>
            </xdr:cNvPr>
            <xdr:cNvSpPr/>
          </xdr:nvSpPr>
          <xdr:spPr>
            <a:xfrm>
              <a:off x="0" y="1112520"/>
              <a:ext cx="2268000" cy="828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ales persons'!M8">
          <xdr:nvSpPr>
            <xdr:cNvPr id="41" name="TextBox 40">
              <a:extLst>
                <a:ext uri="{FF2B5EF4-FFF2-40B4-BE49-F238E27FC236}">
                  <a16:creationId xmlns:a16="http://schemas.microsoft.com/office/drawing/2014/main" id="{DD7D9112-A798-FDDA-2B5D-A4A47685B0ED}"/>
                </a:ext>
              </a:extLst>
            </xdr:cNvPr>
            <xdr:cNvSpPr txBox="1"/>
          </xdr:nvSpPr>
          <xdr:spPr>
            <a:xfrm>
              <a:off x="929640" y="150876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D04C157-344A-4A2A-850F-27AA94EE3BBF}" type="TxLink">
                <a:rPr lang="en-US" sz="1400" b="1" i="0" u="none" strike="noStrike">
                  <a:solidFill>
                    <a:schemeClr val="accent1">
                      <a:lumMod val="75000"/>
                    </a:schemeClr>
                  </a:solidFill>
                  <a:latin typeface="Times New Roman" panose="02020603050405020304" pitchFamily="18" charset="0"/>
                  <a:cs typeface="Times New Roman" panose="02020603050405020304" pitchFamily="18" charset="0"/>
                </a:rPr>
                <a:pPr algn="l"/>
                <a:t> 35,19,000</a:t>
              </a:fld>
              <a:endParaRPr lang="en-IN" sz="1400" b="1">
                <a:solidFill>
                  <a:schemeClr val="accent1">
                    <a:lumMod val="75000"/>
                  </a:schemeClr>
                </a:solidFill>
                <a:latin typeface="Times New Roman" panose="02020603050405020304" pitchFamily="18" charset="0"/>
                <a:cs typeface="Times New Roman" panose="02020603050405020304" pitchFamily="18" charset="0"/>
              </a:endParaRPr>
            </a:p>
          </xdr:txBody>
        </xdr:sp>
        <xdr:sp macro="" textlink="">
          <xdr:nvSpPr>
            <xdr:cNvPr id="42" name="Rectangle: Rounded Corners 41">
              <a:extLst>
                <a:ext uri="{FF2B5EF4-FFF2-40B4-BE49-F238E27FC236}">
                  <a16:creationId xmlns:a16="http://schemas.microsoft.com/office/drawing/2014/main" id="{51756A98-FA31-7003-5437-30CA4ADE8601}"/>
                </a:ext>
              </a:extLst>
            </xdr:cNvPr>
            <xdr:cNvSpPr/>
          </xdr:nvSpPr>
          <xdr:spPr>
            <a:xfrm>
              <a:off x="-139" y="1079820"/>
              <a:ext cx="611702" cy="864266"/>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sp macro="" textlink="">
        <xdr:nvSpPr>
          <xdr:cNvPr id="39" name="TextBox 38">
            <a:extLst>
              <a:ext uri="{FF2B5EF4-FFF2-40B4-BE49-F238E27FC236}">
                <a16:creationId xmlns:a16="http://schemas.microsoft.com/office/drawing/2014/main" id="{8BC5E88F-A332-9746-AECD-C6EE0181E8E9}"/>
              </a:ext>
            </a:extLst>
          </xdr:cNvPr>
          <xdr:cNvSpPr txBox="1"/>
        </xdr:nvSpPr>
        <xdr:spPr>
          <a:xfrm>
            <a:off x="906780" y="1257300"/>
            <a:ext cx="119634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accent1"/>
                </a:solidFill>
                <a:latin typeface="Times New Roman" panose="02020603050405020304" pitchFamily="18" charset="0"/>
                <a:cs typeface="Times New Roman" panose="02020603050405020304" pitchFamily="18" charset="0"/>
              </a:rPr>
              <a:t>PROFIT</a:t>
            </a:r>
          </a:p>
        </xdr:txBody>
      </xdr:sp>
    </xdr:grpSp>
    <xdr:clientData/>
  </xdr:twoCellAnchor>
  <xdr:twoCellAnchor>
    <xdr:from>
      <xdr:col>5</xdr:col>
      <xdr:colOff>358140</xdr:colOff>
      <xdr:row>8</xdr:row>
      <xdr:rowOff>7620</xdr:rowOff>
    </xdr:from>
    <xdr:to>
      <xdr:col>7</xdr:col>
      <xdr:colOff>312420</xdr:colOff>
      <xdr:row>9</xdr:row>
      <xdr:rowOff>129540</xdr:rowOff>
    </xdr:to>
    <xdr:sp macro="" textlink="'Sales persons'!M10">
      <xdr:nvSpPr>
        <xdr:cNvPr id="57" name="TextBox 56">
          <a:extLst>
            <a:ext uri="{FF2B5EF4-FFF2-40B4-BE49-F238E27FC236}">
              <a16:creationId xmlns:a16="http://schemas.microsoft.com/office/drawing/2014/main" id="{189B86E8-1E3D-DAC8-5A8D-813CFADE78A9}"/>
            </a:ext>
          </a:extLst>
        </xdr:cNvPr>
        <xdr:cNvSpPr txBox="1"/>
      </xdr:nvSpPr>
      <xdr:spPr>
        <a:xfrm>
          <a:off x="3406140" y="1470660"/>
          <a:ext cx="117348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E86559-B331-4043-ADCC-EC368D2CB6F5}" type="TxLink">
            <a:rPr lang="en-US" sz="1400" b="1" i="0" u="none" strike="noStrike">
              <a:solidFill>
                <a:schemeClr val="accent1">
                  <a:lumMod val="75000"/>
                </a:schemeClr>
              </a:solidFill>
              <a:latin typeface="Calibri"/>
              <a:cs typeface="Calibri"/>
            </a:rPr>
            <a:pPr/>
            <a:t> 3,52,854</a:t>
          </a:fld>
          <a:endParaRPr lang="en-IN" sz="1400" b="1">
            <a:solidFill>
              <a:schemeClr val="accent1">
                <a:lumMod val="75000"/>
              </a:schemeClr>
            </a:solidFill>
          </a:endParaRPr>
        </a:p>
      </xdr:txBody>
    </xdr:sp>
    <xdr:clientData/>
  </xdr:twoCellAnchor>
  <xdr:twoCellAnchor editAs="oneCell">
    <xdr:from>
      <xdr:col>12</xdr:col>
      <xdr:colOff>346875</xdr:colOff>
      <xdr:row>6</xdr:row>
      <xdr:rowOff>174172</xdr:rowOff>
    </xdr:from>
    <xdr:to>
      <xdr:col>13</xdr:col>
      <xdr:colOff>135287</xdr:colOff>
      <xdr:row>9</xdr:row>
      <xdr:rowOff>75112</xdr:rowOff>
    </xdr:to>
    <xdr:pic>
      <xdr:nvPicPr>
        <xdr:cNvPr id="61" name="Graphic 60" descr="Register">
          <a:extLst>
            <a:ext uri="{FF2B5EF4-FFF2-40B4-BE49-F238E27FC236}">
              <a16:creationId xmlns:a16="http://schemas.microsoft.com/office/drawing/2014/main" id="{7993BCE4-8F01-61B0-8079-62DC1DB3C7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00275" y="1284515"/>
          <a:ext cx="398012" cy="456111"/>
        </a:xfrm>
        <a:prstGeom prst="rect">
          <a:avLst/>
        </a:prstGeom>
      </xdr:spPr>
    </xdr:pic>
    <xdr:clientData/>
  </xdr:twoCellAnchor>
  <xdr:twoCellAnchor editAs="oneCell">
    <xdr:from>
      <xdr:col>8</xdr:col>
      <xdr:colOff>311711</xdr:colOff>
      <xdr:row>6</xdr:row>
      <xdr:rowOff>81340</xdr:rowOff>
    </xdr:from>
    <xdr:to>
      <xdr:col>8</xdr:col>
      <xdr:colOff>784151</xdr:colOff>
      <xdr:row>9</xdr:row>
      <xdr:rowOff>142300</xdr:rowOff>
    </xdr:to>
    <xdr:pic>
      <xdr:nvPicPr>
        <xdr:cNvPr id="63" name="Graphic 62" descr="Gold bars">
          <a:extLst>
            <a:ext uri="{FF2B5EF4-FFF2-40B4-BE49-F238E27FC236}">
              <a16:creationId xmlns:a16="http://schemas.microsoft.com/office/drawing/2014/main" id="{30CCC26E-3212-896A-CFEE-2BCF38554F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39971" y="1178620"/>
          <a:ext cx="472440" cy="609600"/>
        </a:xfrm>
        <a:prstGeom prst="rect">
          <a:avLst/>
        </a:prstGeom>
      </xdr:spPr>
    </xdr:pic>
    <xdr:clientData/>
  </xdr:twoCellAnchor>
  <xdr:twoCellAnchor editAs="oneCell">
    <xdr:from>
      <xdr:col>0</xdr:col>
      <xdr:colOff>76200</xdr:colOff>
      <xdr:row>7</xdr:row>
      <xdr:rowOff>15240</xdr:rowOff>
    </xdr:from>
    <xdr:to>
      <xdr:col>1</xdr:col>
      <xdr:colOff>45720</xdr:colOff>
      <xdr:row>9</xdr:row>
      <xdr:rowOff>87488</xdr:rowOff>
    </xdr:to>
    <xdr:pic>
      <xdr:nvPicPr>
        <xdr:cNvPr id="65" name="Graphic 64" descr="Piggy Bank">
          <a:extLst>
            <a:ext uri="{FF2B5EF4-FFF2-40B4-BE49-F238E27FC236}">
              <a16:creationId xmlns:a16="http://schemas.microsoft.com/office/drawing/2014/main" id="{1F1F749A-6CF7-BDA8-5779-572259E80A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200" y="1295400"/>
          <a:ext cx="579120" cy="438008"/>
        </a:xfrm>
        <a:prstGeom prst="rect">
          <a:avLst/>
        </a:prstGeom>
      </xdr:spPr>
    </xdr:pic>
    <xdr:clientData/>
  </xdr:twoCellAnchor>
  <xdr:twoCellAnchor editAs="oneCell">
    <xdr:from>
      <xdr:col>4</xdr:col>
      <xdr:colOff>121920</xdr:colOff>
      <xdr:row>6</xdr:row>
      <xdr:rowOff>121920</xdr:rowOff>
    </xdr:from>
    <xdr:to>
      <xdr:col>5</xdr:col>
      <xdr:colOff>401</xdr:colOff>
      <xdr:row>9</xdr:row>
      <xdr:rowOff>160020</xdr:rowOff>
    </xdr:to>
    <xdr:pic>
      <xdr:nvPicPr>
        <xdr:cNvPr id="76" name="Graphic 75" descr="Coins">
          <a:extLst>
            <a:ext uri="{FF2B5EF4-FFF2-40B4-BE49-F238E27FC236}">
              <a16:creationId xmlns:a16="http://schemas.microsoft.com/office/drawing/2014/main" id="{3F464710-FD75-61D0-A6D9-88A7DBEAB3C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0320" y="1219200"/>
          <a:ext cx="480060" cy="586740"/>
        </a:xfrm>
        <a:prstGeom prst="rect">
          <a:avLst/>
        </a:prstGeom>
      </xdr:spPr>
    </xdr:pic>
    <xdr:clientData/>
  </xdr:twoCellAnchor>
  <xdr:twoCellAnchor>
    <xdr:from>
      <xdr:col>6</xdr:col>
      <xdr:colOff>259080</xdr:colOff>
      <xdr:row>0</xdr:row>
      <xdr:rowOff>167640</xdr:rowOff>
    </xdr:from>
    <xdr:to>
      <xdr:col>15</xdr:col>
      <xdr:colOff>30480</xdr:colOff>
      <xdr:row>3</xdr:row>
      <xdr:rowOff>175260</xdr:rowOff>
    </xdr:to>
    <xdr:sp macro="" textlink="">
      <xdr:nvSpPr>
        <xdr:cNvPr id="82" name="TextBox 81">
          <a:extLst>
            <a:ext uri="{FF2B5EF4-FFF2-40B4-BE49-F238E27FC236}">
              <a16:creationId xmlns:a16="http://schemas.microsoft.com/office/drawing/2014/main" id="{087CD258-2A35-4FE5-C64A-EEAB8CAF5A8C}"/>
            </a:ext>
          </a:extLst>
        </xdr:cNvPr>
        <xdr:cNvSpPr txBox="1"/>
      </xdr:nvSpPr>
      <xdr:spPr>
        <a:xfrm>
          <a:off x="3916680" y="167640"/>
          <a:ext cx="52578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75000"/>
                </a:schemeClr>
              </a:solidFill>
            </a:rPr>
            <a:t>SALES</a:t>
          </a:r>
          <a:r>
            <a:rPr lang="en-IN" sz="3200" b="1" baseline="0">
              <a:solidFill>
                <a:schemeClr val="accent1">
                  <a:lumMod val="75000"/>
                </a:schemeClr>
              </a:solidFill>
            </a:rPr>
            <a:t> DASHBOARD - 2025</a:t>
          </a:r>
          <a:endParaRPr lang="en-IN" sz="3200" b="1">
            <a:solidFill>
              <a:schemeClr val="accent1">
                <a:lumMod val="75000"/>
              </a:schemeClr>
            </a:solidFill>
          </a:endParaRPr>
        </a:p>
      </xdr:txBody>
    </xdr:sp>
    <xdr:clientData/>
  </xdr:twoCellAnchor>
  <xdr:twoCellAnchor editAs="oneCell">
    <xdr:from>
      <xdr:col>5</xdr:col>
      <xdr:colOff>563880</xdr:colOff>
      <xdr:row>1</xdr:row>
      <xdr:rowOff>76200</xdr:rowOff>
    </xdr:from>
    <xdr:to>
      <xdr:col>6</xdr:col>
      <xdr:colOff>388620</xdr:colOff>
      <xdr:row>3</xdr:row>
      <xdr:rowOff>160020</xdr:rowOff>
    </xdr:to>
    <xdr:pic>
      <xdr:nvPicPr>
        <xdr:cNvPr id="84" name="Graphic 83" descr="Database">
          <a:extLst>
            <a:ext uri="{FF2B5EF4-FFF2-40B4-BE49-F238E27FC236}">
              <a16:creationId xmlns:a16="http://schemas.microsoft.com/office/drawing/2014/main" id="{1F9714BB-B4C6-5905-15C3-5E14CEF293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11880" y="259080"/>
          <a:ext cx="434340" cy="449580"/>
        </a:xfrm>
        <a:prstGeom prst="rect">
          <a:avLst/>
        </a:prstGeom>
      </xdr:spPr>
    </xdr:pic>
    <xdr:clientData/>
  </xdr:twoCellAnchor>
  <xdr:twoCellAnchor editAs="oneCell">
    <xdr:from>
      <xdr:col>16</xdr:col>
      <xdr:colOff>432163</xdr:colOff>
      <xdr:row>6</xdr:row>
      <xdr:rowOff>91441</xdr:rowOff>
    </xdr:from>
    <xdr:to>
      <xdr:col>24</xdr:col>
      <xdr:colOff>573677</xdr:colOff>
      <xdr:row>10</xdr:row>
      <xdr:rowOff>53340</xdr:rowOff>
    </xdr:to>
    <mc:AlternateContent xmlns:mc="http://schemas.openxmlformats.org/markup-compatibility/2006">
      <mc:Choice xmlns:a14="http://schemas.microsoft.com/office/drawing/2010/main" Requires="a14">
        <xdr:graphicFrame macro="">
          <xdr:nvGraphicFramePr>
            <xdr:cNvPr id="85" name="Region 1">
              <a:extLst>
                <a:ext uri="{FF2B5EF4-FFF2-40B4-BE49-F238E27FC236}">
                  <a16:creationId xmlns:a16="http://schemas.microsoft.com/office/drawing/2014/main" id="{124DC101-EAF4-4FD9-A70A-01FDA30D16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23963" y="1188721"/>
              <a:ext cx="5018314"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3</xdr:col>
      <xdr:colOff>0</xdr:colOff>
      <xdr:row>26</xdr:row>
      <xdr:rowOff>76200</xdr:rowOff>
    </xdr:to>
    <mc:AlternateContent xmlns:mc="http://schemas.openxmlformats.org/markup-compatibility/2006" xmlns:a14="http://schemas.microsoft.com/office/drawing/2010/main">
      <mc:Choice Requires="a14">
        <xdr:graphicFrame macro="">
          <xdr:nvGraphicFramePr>
            <xdr:cNvPr id="86" name="Product 1">
              <a:extLst>
                <a:ext uri="{FF2B5EF4-FFF2-40B4-BE49-F238E27FC236}">
                  <a16:creationId xmlns:a16="http://schemas.microsoft.com/office/drawing/2014/main" id="{8F505181-4154-4A2C-BC12-58F6D354F99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011681"/>
              <a:ext cx="1828800" cy="2819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68580</xdr:rowOff>
    </xdr:from>
    <xdr:to>
      <xdr:col>3</xdr:col>
      <xdr:colOff>0</xdr:colOff>
      <xdr:row>60</xdr:row>
      <xdr:rowOff>137160</xdr:rowOff>
    </xdr:to>
    <mc:AlternateContent xmlns:mc="http://schemas.openxmlformats.org/markup-compatibility/2006" xmlns:a14="http://schemas.microsoft.com/office/drawing/2010/main">
      <mc:Choice Requires="a14">
        <xdr:graphicFrame macro="">
          <xdr:nvGraphicFramePr>
            <xdr:cNvPr id="89" name="Sales Person 2">
              <a:extLst>
                <a:ext uri="{FF2B5EF4-FFF2-40B4-BE49-F238E27FC236}">
                  <a16:creationId xmlns:a16="http://schemas.microsoft.com/office/drawing/2014/main" id="{7BE888DA-FC28-3310-34C1-C91B63B36577}"/>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0" y="4823460"/>
              <a:ext cx="1828800" cy="558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8861</xdr:colOff>
      <xdr:row>11</xdr:row>
      <xdr:rowOff>115187</xdr:rowOff>
    </xdr:from>
    <xdr:to>
      <xdr:col>11</xdr:col>
      <xdr:colOff>468086</xdr:colOff>
      <xdr:row>26</xdr:row>
      <xdr:rowOff>17722</xdr:rowOff>
    </xdr:to>
    <xdr:sp macro="" textlink="">
      <xdr:nvSpPr>
        <xdr:cNvPr id="91" name="Rectangle: Rounded Corners 90">
          <a:extLst>
            <a:ext uri="{FF2B5EF4-FFF2-40B4-BE49-F238E27FC236}">
              <a16:creationId xmlns:a16="http://schemas.microsoft.com/office/drawing/2014/main" id="{0C1CE939-1D6B-0017-5EDE-B89BD6C43BB3}"/>
            </a:ext>
          </a:extLst>
        </xdr:cNvPr>
        <xdr:cNvSpPr/>
      </xdr:nvSpPr>
      <xdr:spPr>
        <a:xfrm>
          <a:off x="1837661" y="2150816"/>
          <a:ext cx="6174225" cy="267839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75000"/>
                </a:schemeClr>
              </a:solidFill>
            </a:rPr>
            <a:t>Unit</a:t>
          </a:r>
          <a:r>
            <a:rPr lang="en-IN" sz="1200" baseline="0">
              <a:solidFill>
                <a:schemeClr val="accent6">
                  <a:lumMod val="75000"/>
                </a:schemeClr>
              </a:solidFill>
            </a:rPr>
            <a:t> Sold Product</a:t>
          </a:r>
          <a:endParaRPr lang="en-IN" sz="1200">
            <a:solidFill>
              <a:schemeClr val="accent6">
                <a:lumMod val="75000"/>
              </a:schemeClr>
            </a:solidFill>
          </a:endParaRPr>
        </a:p>
      </xdr:txBody>
    </xdr:sp>
    <xdr:clientData/>
  </xdr:twoCellAnchor>
  <xdr:twoCellAnchor>
    <xdr:from>
      <xdr:col>3</xdr:col>
      <xdr:colOff>159489</xdr:colOff>
      <xdr:row>13</xdr:row>
      <xdr:rowOff>88605</xdr:rowOff>
    </xdr:from>
    <xdr:to>
      <xdr:col>11</xdr:col>
      <xdr:colOff>312420</xdr:colOff>
      <xdr:row>23</xdr:row>
      <xdr:rowOff>177209</xdr:rowOff>
    </xdr:to>
    <xdr:graphicFrame macro="">
      <xdr:nvGraphicFramePr>
        <xdr:cNvPr id="93" name="Chart 92">
          <a:extLst>
            <a:ext uri="{FF2B5EF4-FFF2-40B4-BE49-F238E27FC236}">
              <a16:creationId xmlns:a16="http://schemas.microsoft.com/office/drawing/2014/main" id="{B8FD08B7-743E-41AD-907B-04475F11F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14935</xdr:colOff>
      <xdr:row>11</xdr:row>
      <xdr:rowOff>35443</xdr:rowOff>
    </xdr:from>
    <xdr:to>
      <xdr:col>25</xdr:col>
      <xdr:colOff>54428</xdr:colOff>
      <xdr:row>25</xdr:row>
      <xdr:rowOff>124048</xdr:rowOff>
    </xdr:to>
    <xdr:sp macro="" textlink="">
      <xdr:nvSpPr>
        <xdr:cNvPr id="94" name="Rectangle: Rounded Corners 93">
          <a:extLst>
            <a:ext uri="{FF2B5EF4-FFF2-40B4-BE49-F238E27FC236}">
              <a16:creationId xmlns:a16="http://schemas.microsoft.com/office/drawing/2014/main" id="{C900BB34-E906-3C5F-8B39-4CDB0EA59B8C}"/>
            </a:ext>
          </a:extLst>
        </xdr:cNvPr>
        <xdr:cNvSpPr/>
      </xdr:nvSpPr>
      <xdr:spPr>
        <a:xfrm>
          <a:off x="8168335" y="2071072"/>
          <a:ext cx="7964293" cy="267940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75000"/>
                </a:schemeClr>
              </a:solidFill>
            </a:rPr>
            <a:t>Total</a:t>
          </a:r>
          <a:r>
            <a:rPr lang="en-IN" sz="1200" baseline="0">
              <a:solidFill>
                <a:schemeClr val="accent6">
                  <a:lumMod val="75000"/>
                </a:schemeClr>
              </a:solidFill>
            </a:rPr>
            <a:t> Sales By Region</a:t>
          </a:r>
          <a:endParaRPr lang="en-IN" sz="1200">
            <a:solidFill>
              <a:schemeClr val="accent6">
                <a:lumMod val="75000"/>
              </a:schemeClr>
            </a:solidFill>
          </a:endParaRPr>
        </a:p>
      </xdr:txBody>
    </xdr:sp>
    <xdr:clientData/>
  </xdr:twoCellAnchor>
  <xdr:twoCellAnchor>
    <xdr:from>
      <xdr:col>11</xdr:col>
      <xdr:colOff>79744</xdr:colOff>
      <xdr:row>13</xdr:row>
      <xdr:rowOff>97465</xdr:rowOff>
    </xdr:from>
    <xdr:to>
      <xdr:col>21</xdr:col>
      <xdr:colOff>206188</xdr:colOff>
      <xdr:row>24</xdr:row>
      <xdr:rowOff>124047</xdr:rowOff>
    </xdr:to>
    <xdr:graphicFrame macro="">
      <xdr:nvGraphicFramePr>
        <xdr:cNvPr id="96" name="Chart 95">
          <a:extLst>
            <a:ext uri="{FF2B5EF4-FFF2-40B4-BE49-F238E27FC236}">
              <a16:creationId xmlns:a16="http://schemas.microsoft.com/office/drawing/2014/main" id="{6DE5F8C5-BC9C-44CB-8F3A-1EAC2FC2B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17720</xdr:colOff>
      <xdr:row>26</xdr:row>
      <xdr:rowOff>121920</xdr:rowOff>
    </xdr:from>
    <xdr:to>
      <xdr:col>11</xdr:col>
      <xdr:colOff>594360</xdr:colOff>
      <xdr:row>43</xdr:row>
      <xdr:rowOff>7620</xdr:rowOff>
    </xdr:to>
    <xdr:sp macro="" textlink="">
      <xdr:nvSpPr>
        <xdr:cNvPr id="98" name="Rectangle: Rounded Corners 97">
          <a:extLst>
            <a:ext uri="{FF2B5EF4-FFF2-40B4-BE49-F238E27FC236}">
              <a16:creationId xmlns:a16="http://schemas.microsoft.com/office/drawing/2014/main" id="{5BBB940F-E054-7D2C-2D9E-A1238D644F8A}"/>
            </a:ext>
          </a:extLst>
        </xdr:cNvPr>
        <xdr:cNvSpPr/>
      </xdr:nvSpPr>
      <xdr:spPr>
        <a:xfrm>
          <a:off x="1846520" y="4876800"/>
          <a:ext cx="6291640" cy="29946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75000"/>
                </a:schemeClr>
              </a:solidFill>
            </a:rPr>
            <a:t>Total</a:t>
          </a:r>
          <a:r>
            <a:rPr lang="en-IN" sz="1200" baseline="0">
              <a:solidFill>
                <a:schemeClr val="accent6">
                  <a:lumMod val="75000"/>
                </a:schemeClr>
              </a:solidFill>
            </a:rPr>
            <a:t> Sales By Produt</a:t>
          </a:r>
          <a:endParaRPr lang="en-IN" sz="1200">
            <a:solidFill>
              <a:schemeClr val="accent6">
                <a:lumMod val="75000"/>
              </a:schemeClr>
            </a:solidFill>
          </a:endParaRPr>
        </a:p>
      </xdr:txBody>
    </xdr:sp>
    <xdr:clientData/>
  </xdr:twoCellAnchor>
  <xdr:twoCellAnchor>
    <xdr:from>
      <xdr:col>3</xdr:col>
      <xdr:colOff>17720</xdr:colOff>
      <xdr:row>28</xdr:row>
      <xdr:rowOff>150628</xdr:rowOff>
    </xdr:from>
    <xdr:to>
      <xdr:col>10</xdr:col>
      <xdr:colOff>522767</xdr:colOff>
      <xdr:row>40</xdr:row>
      <xdr:rowOff>65390</xdr:rowOff>
    </xdr:to>
    <xdr:graphicFrame macro="">
      <xdr:nvGraphicFramePr>
        <xdr:cNvPr id="100" name="Chart 99">
          <a:extLst>
            <a:ext uri="{FF2B5EF4-FFF2-40B4-BE49-F238E27FC236}">
              <a16:creationId xmlns:a16="http://schemas.microsoft.com/office/drawing/2014/main" id="{05EBAFBD-7406-418E-9F81-3FC02B809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555171</xdr:colOff>
      <xdr:row>26</xdr:row>
      <xdr:rowOff>70885</xdr:rowOff>
    </xdr:from>
    <xdr:to>
      <xdr:col>24</xdr:col>
      <xdr:colOff>555171</xdr:colOff>
      <xdr:row>41</xdr:row>
      <xdr:rowOff>150629</xdr:rowOff>
    </xdr:to>
    <xdr:sp macro="" textlink="">
      <xdr:nvSpPr>
        <xdr:cNvPr id="101" name="Rectangle: Rounded Corners 100">
          <a:extLst>
            <a:ext uri="{FF2B5EF4-FFF2-40B4-BE49-F238E27FC236}">
              <a16:creationId xmlns:a16="http://schemas.microsoft.com/office/drawing/2014/main" id="{BB0284B5-653D-D06C-B9C3-82C116F403E0}"/>
            </a:ext>
          </a:extLst>
        </xdr:cNvPr>
        <xdr:cNvSpPr/>
      </xdr:nvSpPr>
      <xdr:spPr>
        <a:xfrm>
          <a:off x="8098971" y="4882371"/>
          <a:ext cx="7924800" cy="2855601"/>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75000"/>
                </a:schemeClr>
              </a:solidFill>
            </a:rPr>
            <a:t>Total</a:t>
          </a:r>
          <a:r>
            <a:rPr lang="en-IN" sz="1200" baseline="0">
              <a:solidFill>
                <a:schemeClr val="accent6">
                  <a:lumMod val="75000"/>
                </a:schemeClr>
              </a:solidFill>
            </a:rPr>
            <a:t> Sales By Produt</a:t>
          </a:r>
          <a:endParaRPr lang="en-IN" sz="1200">
            <a:solidFill>
              <a:schemeClr val="accent6">
                <a:lumMod val="75000"/>
              </a:schemeClr>
            </a:solidFill>
          </a:endParaRPr>
        </a:p>
      </xdr:txBody>
    </xdr:sp>
    <xdr:clientData/>
  </xdr:twoCellAnchor>
  <xdr:twoCellAnchor>
    <xdr:from>
      <xdr:col>11</xdr:col>
      <xdr:colOff>239232</xdr:colOff>
      <xdr:row>28</xdr:row>
      <xdr:rowOff>97466</xdr:rowOff>
    </xdr:from>
    <xdr:to>
      <xdr:col>21</xdr:col>
      <xdr:colOff>363279</xdr:colOff>
      <xdr:row>40</xdr:row>
      <xdr:rowOff>132907</xdr:rowOff>
    </xdr:to>
    <xdr:graphicFrame macro="">
      <xdr:nvGraphicFramePr>
        <xdr:cNvPr id="103" name="Chart 102">
          <a:extLst>
            <a:ext uri="{FF2B5EF4-FFF2-40B4-BE49-F238E27FC236}">
              <a16:creationId xmlns:a16="http://schemas.microsoft.com/office/drawing/2014/main" id="{4F5AE0EC-7E91-4388-B9FD-ED03CE08A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38100</xdr:rowOff>
    </xdr:from>
    <xdr:to>
      <xdr:col>3</xdr:col>
      <xdr:colOff>320040</xdr:colOff>
      <xdr:row>42</xdr:row>
      <xdr:rowOff>133350</xdr:rowOff>
    </xdr:to>
    <xdr:graphicFrame macro="">
      <xdr:nvGraphicFramePr>
        <xdr:cNvPr id="2" name="Chart 1">
          <a:extLst>
            <a:ext uri="{FF2B5EF4-FFF2-40B4-BE49-F238E27FC236}">
              <a16:creationId xmlns:a16="http://schemas.microsoft.com/office/drawing/2014/main" id="{12EA69B0-0559-F678-BFC8-CF821EF8C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441960</xdr:colOff>
      <xdr:row>28</xdr:row>
      <xdr:rowOff>60960</xdr:rowOff>
    </xdr:from>
    <xdr:to>
      <xdr:col>9</xdr:col>
      <xdr:colOff>815340</xdr:colOff>
      <xdr:row>42</xdr:row>
      <xdr:rowOff>38100</xdr:rowOff>
    </xdr:to>
    <xdr:graphicFrame macro="">
      <xdr:nvGraphicFramePr>
        <xdr:cNvPr id="3" name="Chart 2">
          <a:extLst>
            <a:ext uri="{FF2B5EF4-FFF2-40B4-BE49-F238E27FC236}">
              <a16:creationId xmlns:a16="http://schemas.microsoft.com/office/drawing/2014/main" id="{CE383539-7931-B990-EBF1-D805E528B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853440</xdr:colOff>
      <xdr:row>28</xdr:row>
      <xdr:rowOff>137160</xdr:rowOff>
    </xdr:from>
    <xdr:to>
      <xdr:col>15</xdr:col>
      <xdr:colOff>114300</xdr:colOff>
      <xdr:row>43</xdr:row>
      <xdr:rowOff>64770</xdr:rowOff>
    </xdr:to>
    <xdr:graphicFrame macro="">
      <xdr:nvGraphicFramePr>
        <xdr:cNvPr id="5" name="Chart 4">
          <a:extLst>
            <a:ext uri="{FF2B5EF4-FFF2-40B4-BE49-F238E27FC236}">
              <a16:creationId xmlns:a16="http://schemas.microsoft.com/office/drawing/2014/main" id="{D878ABAE-26F5-D09B-A2AE-F9713BD0E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29</xdr:row>
      <xdr:rowOff>3810</xdr:rowOff>
    </xdr:from>
    <xdr:to>
      <xdr:col>23</xdr:col>
      <xdr:colOff>7620</xdr:colOff>
      <xdr:row>44</xdr:row>
      <xdr:rowOff>3810</xdr:rowOff>
    </xdr:to>
    <xdr:graphicFrame macro="">
      <xdr:nvGraphicFramePr>
        <xdr:cNvPr id="6" name="Chart 5">
          <a:extLst>
            <a:ext uri="{FF2B5EF4-FFF2-40B4-BE49-F238E27FC236}">
              <a16:creationId xmlns:a16="http://schemas.microsoft.com/office/drawing/2014/main" id="{7CEBBAED-465C-DC1D-4DAE-26E02BA72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68580</xdr:colOff>
      <xdr:row>8</xdr:row>
      <xdr:rowOff>144781</xdr:rowOff>
    </xdr:from>
    <xdr:to>
      <xdr:col>3</xdr:col>
      <xdr:colOff>91440</xdr:colOff>
      <xdr:row>12</xdr:row>
      <xdr:rowOff>91440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53CB825-8644-0C54-E680-E4548BD439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9640" y="1607821"/>
              <a:ext cx="18288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678180</xdr:colOff>
      <xdr:row>8</xdr:row>
      <xdr:rowOff>137160</xdr:rowOff>
    </xdr:from>
    <xdr:to>
      <xdr:col>8</xdr:col>
      <xdr:colOff>91440</xdr:colOff>
      <xdr:row>22</xdr:row>
      <xdr:rowOff>43815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5360BEEE-B86F-B3C7-44EB-E69A714D98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15840" y="160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7</xdr:row>
      <xdr:rowOff>0</xdr:rowOff>
    </xdr:from>
    <xdr:to>
      <xdr:col>10</xdr:col>
      <xdr:colOff>53340</xdr:colOff>
      <xdr:row>20</xdr:row>
      <xdr:rowOff>89535</xdr:rowOff>
    </xdr:to>
    <mc:AlternateContent xmlns:mc="http://schemas.openxmlformats.org/markup-compatibility/2006" xmlns:a14="http://schemas.microsoft.com/office/drawing/2010/main">
      <mc:Choice Requires="a14">
        <xdr:graphicFrame macro="">
          <xdr:nvGraphicFramePr>
            <xdr:cNvPr id="11" name="Sales Person">
              <a:extLst>
                <a:ext uri="{FF2B5EF4-FFF2-40B4-BE49-F238E27FC236}">
                  <a16:creationId xmlns:a16="http://schemas.microsoft.com/office/drawing/2014/main" id="{AB8CC282-FBC3-EBFC-834B-054513D6269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10</xdr:row>
      <xdr:rowOff>99060</xdr:rowOff>
    </xdr:from>
    <xdr:to>
      <xdr:col>10</xdr:col>
      <xdr:colOff>53340</xdr:colOff>
      <xdr:row>24</xdr:row>
      <xdr:rowOff>5715</xdr:rowOff>
    </xdr:to>
    <mc:AlternateContent xmlns:mc="http://schemas.openxmlformats.org/markup-compatibility/2006" xmlns:a14="http://schemas.microsoft.com/office/drawing/2010/main">
      <mc:Choice Requires="a14">
        <xdr:graphicFrame macro="">
          <xdr:nvGraphicFramePr>
            <xdr:cNvPr id="4" name="Units Sold">
              <a:extLst>
                <a:ext uri="{FF2B5EF4-FFF2-40B4-BE49-F238E27FC236}">
                  <a16:creationId xmlns:a16="http://schemas.microsoft.com/office/drawing/2014/main" id="{C52078C3-533D-C3AF-EB2E-A3BFEA6159D0}"/>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630174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05.637574305554" createdVersion="8" refreshedVersion="8" minRefreshableVersion="3" recordCount="26" xr:uid="{431CDB70-7AD8-423A-A937-0C4676609268}">
  <cacheSource type="worksheet">
    <worksheetSource name="Table1"/>
  </cacheSource>
  <cacheFields count="9">
    <cacheField name="Data" numFmtId="14">
      <sharedItems containsSemiMixedTypes="0" containsNonDate="0" containsDate="1" containsString="0" minDate="2020-02-10T00:00:00" maxDate="2021-03-03T00:00:00"/>
    </cacheField>
    <cacheField name="Sales Person" numFmtId="0">
      <sharedItems count="26">
        <s v="Aloce"/>
        <s v="Alice"/>
        <s v="Ramya"/>
        <s v="Priya"/>
        <s v="Joes"/>
        <s v="Jhon"/>
        <s v="Dhinesh Kumar"/>
        <s v="Prathiyumanan"/>
        <s v="Vaishnavi"/>
        <s v="Shalini"/>
        <s v="Subalakshmi"/>
        <s v="Henny"/>
        <s v="Balu"/>
        <s v="Fazil"/>
        <s v="Bengamin"/>
        <s v="Gopal"/>
        <s v="Dheena"/>
        <s v="Rohit Sharma"/>
        <s v="Virat Kholi"/>
        <s v="Anushka"/>
        <s v="Vishalini"/>
        <s v="Rathi Sri"/>
        <s v="Oviya"/>
        <s v="Kamali"/>
        <s v="Pragadish"/>
        <s v="Surya kumar"/>
      </sharedItems>
    </cacheField>
    <cacheField name="Region" numFmtId="0">
      <sharedItems count="4">
        <s v="west"/>
        <s v="North"/>
        <s v="South"/>
        <s v="East"/>
      </sharedItems>
    </cacheField>
    <cacheField name="Product" numFmtId="0">
      <sharedItems count="9">
        <s v="Tent"/>
        <s v="novel"/>
        <s v="soap"/>
        <s v="blavour"/>
        <s v="paste"/>
        <s v="Sneakers"/>
        <s v="Action Figure"/>
        <s v="Moistures"/>
        <s v="Blenders"/>
      </sharedItems>
    </cacheField>
    <cacheField name="Units Sold" numFmtId="164">
      <sharedItems containsSemiMixedTypes="0" containsString="0" containsNumber="1" containsInteger="1" minValue="51" maxValue="798" count="22">
        <n v="84"/>
        <n v="128"/>
        <n v="136"/>
        <n v="91"/>
        <n v="110"/>
        <n v="51"/>
        <n v="798"/>
        <n v="146"/>
        <n v="101"/>
        <n v="52"/>
        <n v="55"/>
        <n v="137"/>
        <n v="96"/>
        <n v="76"/>
        <n v="145"/>
        <n v="83"/>
        <n v="108"/>
        <n v="92"/>
        <n v="71"/>
        <n v="103"/>
        <n v="114"/>
        <n v="58"/>
      </sharedItems>
    </cacheField>
    <cacheField name="Unit Price" numFmtId="164">
      <sharedItems containsSemiMixedTypes="0" containsString="0" containsNumber="1" containsInteger="1" minValue="400" maxValue="12000"/>
    </cacheField>
    <cacheField name="Cost of Goods" numFmtId="164">
      <sharedItems containsSemiMixedTypes="0" containsString="0" containsNumber="1" containsInteger="1" minValue="400" maxValue="7000"/>
    </cacheField>
    <cacheField name="Total States" numFmtId="164">
      <sharedItems containsSemiMixedTypes="0" containsString="0" containsNumber="1" containsInteger="1" minValue="20800" maxValue="1015000"/>
    </cacheField>
    <cacheField name="Profit" numFmtId="165">
      <sharedItems containsSemiMixedTypes="0" containsString="0" containsNumber="1" containsInteger="1" minValue="-332000" maxValue="913500"/>
    </cacheField>
  </cacheFields>
  <extLst>
    <ext xmlns:x14="http://schemas.microsoft.com/office/spreadsheetml/2009/9/main" uri="{725AE2AE-9491-48be-B2B4-4EB974FC3084}">
      <x14:pivotCacheDefinition pivotCacheId="1893348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20-02-10T00:00:00"/>
    <x v="0"/>
    <x v="0"/>
    <x v="0"/>
    <x v="0"/>
    <n v="6000"/>
    <n v="4000"/>
    <n v="504000"/>
    <n v="168000"/>
  </r>
  <r>
    <d v="2020-02-11T00:00:00"/>
    <x v="1"/>
    <x v="1"/>
    <x v="1"/>
    <x v="1"/>
    <n v="3500"/>
    <n v="2500"/>
    <n v="448000"/>
    <n v="128000"/>
  </r>
  <r>
    <d v="2021-01-12T00:00:00"/>
    <x v="2"/>
    <x v="2"/>
    <x v="2"/>
    <x v="2"/>
    <n v="1200"/>
    <n v="800"/>
    <n v="163200"/>
    <n v="54400"/>
  </r>
  <r>
    <d v="2021-01-13T00:00:00"/>
    <x v="3"/>
    <x v="3"/>
    <x v="0"/>
    <x v="3"/>
    <n v="1000"/>
    <n v="700"/>
    <n v="91000"/>
    <n v="27300"/>
  </r>
  <r>
    <d v="2021-01-14T00:00:00"/>
    <x v="4"/>
    <x v="0"/>
    <x v="3"/>
    <x v="4"/>
    <n v="4000"/>
    <n v="3000"/>
    <n v="440000"/>
    <n v="110000"/>
  </r>
  <r>
    <d v="2021-01-15T00:00:00"/>
    <x v="5"/>
    <x v="2"/>
    <x v="4"/>
    <x v="5"/>
    <n v="1200"/>
    <n v="800"/>
    <n v="61200"/>
    <n v="20400"/>
  </r>
  <r>
    <d v="2021-01-16T00:00:00"/>
    <x v="6"/>
    <x v="1"/>
    <x v="5"/>
    <x v="6"/>
    <n v="1000"/>
    <n v="700"/>
    <n v="798000"/>
    <n v="239400"/>
  </r>
  <r>
    <d v="2021-01-17T00:00:00"/>
    <x v="7"/>
    <x v="3"/>
    <x v="6"/>
    <x v="7"/>
    <n v="6000"/>
    <n v="4000"/>
    <n v="876000"/>
    <n v="292000"/>
  </r>
  <r>
    <d v="2021-02-12T00:00:00"/>
    <x v="8"/>
    <x v="0"/>
    <x v="7"/>
    <x v="8"/>
    <n v="600"/>
    <n v="800"/>
    <n v="60600"/>
    <n v="-20200"/>
  </r>
  <r>
    <d v="2020-02-13T00:00:00"/>
    <x v="9"/>
    <x v="2"/>
    <x v="8"/>
    <x v="9"/>
    <n v="6000"/>
    <n v="700"/>
    <n v="312000"/>
    <n v="275600"/>
  </r>
  <r>
    <d v="2020-03-13T00:00:00"/>
    <x v="10"/>
    <x v="1"/>
    <x v="1"/>
    <x v="10"/>
    <n v="12000"/>
    <n v="2500"/>
    <n v="660000"/>
    <n v="522500"/>
  </r>
  <r>
    <d v="2020-04-13T00:00:00"/>
    <x v="11"/>
    <x v="2"/>
    <x v="5"/>
    <x v="11"/>
    <n v="1000"/>
    <n v="3000"/>
    <n v="137000"/>
    <n v="-274000"/>
  </r>
  <r>
    <d v="2020-05-13T00:00:00"/>
    <x v="12"/>
    <x v="1"/>
    <x v="6"/>
    <x v="12"/>
    <n v="3500"/>
    <n v="2500"/>
    <n v="336000"/>
    <n v="96000"/>
  </r>
  <r>
    <d v="2020-06-13T00:00:00"/>
    <x v="13"/>
    <x v="3"/>
    <x v="7"/>
    <x v="9"/>
    <n v="400"/>
    <n v="3000"/>
    <n v="20800"/>
    <n v="-135200"/>
  </r>
  <r>
    <d v="2021-02-18T00:00:00"/>
    <x v="14"/>
    <x v="0"/>
    <x v="8"/>
    <x v="13"/>
    <n v="700"/>
    <n v="800"/>
    <n v="53200"/>
    <n v="-7600"/>
  </r>
  <r>
    <d v="2021-02-19T00:00:00"/>
    <x v="15"/>
    <x v="0"/>
    <x v="1"/>
    <x v="14"/>
    <n v="7000"/>
    <n v="700"/>
    <n v="1015000"/>
    <n v="913500"/>
  </r>
  <r>
    <d v="2021-02-20T00:00:00"/>
    <x v="16"/>
    <x v="3"/>
    <x v="5"/>
    <x v="15"/>
    <n v="3000"/>
    <n v="7000"/>
    <n v="249000"/>
    <n v="-332000"/>
  </r>
  <r>
    <d v="2021-02-21T00:00:00"/>
    <x v="17"/>
    <x v="2"/>
    <x v="6"/>
    <x v="3"/>
    <n v="4000"/>
    <n v="3000"/>
    <n v="364000"/>
    <n v="91000"/>
  </r>
  <r>
    <d v="2021-02-22T00:00:00"/>
    <x v="18"/>
    <x v="1"/>
    <x v="7"/>
    <x v="16"/>
    <n v="600"/>
    <n v="400"/>
    <n v="64800"/>
    <n v="21600"/>
  </r>
  <r>
    <d v="2020-02-29T00:00:00"/>
    <x v="19"/>
    <x v="3"/>
    <x v="8"/>
    <x v="17"/>
    <n v="1000"/>
    <n v="4000"/>
    <n v="92000"/>
    <n v="-276000"/>
  </r>
  <r>
    <d v="2020-03-01T00:00:00"/>
    <x v="20"/>
    <x v="0"/>
    <x v="1"/>
    <x v="18"/>
    <n v="10000"/>
    <n v="400"/>
    <n v="710000"/>
    <n v="681600"/>
  </r>
  <r>
    <d v="2021-03-02T00:00:00"/>
    <x v="21"/>
    <x v="2"/>
    <x v="6"/>
    <x v="19"/>
    <n v="4000"/>
    <n v="700"/>
    <n v="412000"/>
    <n v="339900"/>
  </r>
  <r>
    <d v="2020-05-03T00:00:00"/>
    <x v="22"/>
    <x v="1"/>
    <x v="7"/>
    <x v="20"/>
    <n v="600"/>
    <n v="2000"/>
    <n v="68400"/>
    <n v="-159600"/>
  </r>
  <r>
    <d v="2020-03-04T00:00:00"/>
    <x v="23"/>
    <x v="3"/>
    <x v="8"/>
    <x v="2"/>
    <n v="6000"/>
    <n v="2500"/>
    <n v="816000"/>
    <n v="476000"/>
  </r>
  <r>
    <d v="2020-03-05T00:00:00"/>
    <x v="24"/>
    <x v="2"/>
    <x v="1"/>
    <x v="3"/>
    <n v="4000"/>
    <n v="1200"/>
    <n v="364000"/>
    <n v="254800"/>
  </r>
  <r>
    <d v="2020-04-01T00:00:00"/>
    <x v="25"/>
    <x v="1"/>
    <x v="6"/>
    <x v="21"/>
    <n v="1000"/>
    <n v="800"/>
    <n v="58000"/>
    <n v="11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78035-5AA0-4A0D-90EC-AA62EAB4AB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27" firstHeaderRow="1" firstDataRow="1" firstDataCol="1"/>
  <pivotFields count="9">
    <pivotField numFmtId="14" showAll="0"/>
    <pivotField axis="axisRow" showAll="0">
      <items count="27">
        <item x="1"/>
        <item x="0"/>
        <item x="19"/>
        <item h="1" x="12"/>
        <item x="14"/>
        <item x="16"/>
        <item x="6"/>
        <item x="13"/>
        <item x="15"/>
        <item x="11"/>
        <item x="5"/>
        <item x="4"/>
        <item x="23"/>
        <item x="22"/>
        <item x="24"/>
        <item x="7"/>
        <item x="3"/>
        <item x="2"/>
        <item x="21"/>
        <item x="17"/>
        <item x="9"/>
        <item x="10"/>
        <item x="25"/>
        <item x="8"/>
        <item x="18"/>
        <item x="20"/>
        <item t="default"/>
      </items>
    </pivotField>
    <pivotField showAll="0">
      <items count="5">
        <item x="3"/>
        <item x="1"/>
        <item x="2"/>
        <item x="0"/>
        <item t="default"/>
      </items>
    </pivotField>
    <pivotField showAll="0">
      <items count="10">
        <item x="6"/>
        <item x="3"/>
        <item x="8"/>
        <item x="7"/>
        <item x="1"/>
        <item x="4"/>
        <item x="5"/>
        <item x="2"/>
        <item x="0"/>
        <item t="default"/>
      </items>
    </pivotField>
    <pivotField numFmtId="164" showAll="0"/>
    <pivotField numFmtId="164" showAll="0"/>
    <pivotField numFmtId="164" showAll="0"/>
    <pivotField dataField="1" numFmtId="164" showAll="0"/>
    <pivotField numFmtId="165" showAll="0"/>
  </pivotFields>
  <rowFields count="1">
    <field x="1"/>
  </rowFields>
  <rowItems count="26">
    <i>
      <x/>
    </i>
    <i>
      <x v="1"/>
    </i>
    <i>
      <x v="2"/>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otal States" fld="7" baseField="1" baseItem="0" numFmtId="166"/>
  </dataFields>
  <chartFormats count="1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4"/>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4"/>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4"/>
          </reference>
        </references>
      </pivotArea>
    </chartFormat>
    <chartFormat chart="5" format="12">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9"/>
          </reference>
        </references>
      </pivotArea>
    </chartFormat>
    <chartFormat chart="2" format="7">
      <pivotArea type="data" outline="0" fieldPosition="0">
        <references count="2">
          <reference field="4294967294" count="1" selected="0">
            <x v="0"/>
          </reference>
          <reference field="1" count="1" selected="0">
            <x v="10"/>
          </reference>
        </references>
      </pivotArea>
    </chartFormat>
    <chartFormat chart="2" format="8">
      <pivotArea type="data" outline="0" fieldPosition="0">
        <references count="2">
          <reference field="4294967294" count="1" selected="0">
            <x v="0"/>
          </reference>
          <reference field="1" count="1" selected="0">
            <x v="14"/>
          </reference>
        </references>
      </pivotArea>
    </chartFormat>
    <chartFormat chart="2" format="9">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86DDA7-85CB-4E74-9C2B-4899177D1E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F11" firstHeaderRow="1" firstDataRow="1" firstDataCol="1"/>
  <pivotFields count="9">
    <pivotField numFmtId="14" showAll="0"/>
    <pivotField showAll="0">
      <items count="27">
        <item x="1"/>
        <item x="0"/>
        <item x="19"/>
        <item h="1" x="12"/>
        <item x="14"/>
        <item x="16"/>
        <item x="6"/>
        <item x="13"/>
        <item x="15"/>
        <item x="11"/>
        <item x="5"/>
        <item x="4"/>
        <item x="23"/>
        <item x="22"/>
        <item x="24"/>
        <item x="7"/>
        <item x="3"/>
        <item x="2"/>
        <item x="21"/>
        <item x="17"/>
        <item x="9"/>
        <item x="10"/>
        <item x="25"/>
        <item x="8"/>
        <item x="18"/>
        <item x="20"/>
        <item t="default"/>
      </items>
    </pivotField>
    <pivotField showAll="0">
      <items count="5">
        <item x="3"/>
        <item x="1"/>
        <item x="2"/>
        <item x="0"/>
        <item t="default"/>
      </items>
    </pivotField>
    <pivotField axis="axisRow" showAll="0">
      <items count="10">
        <item x="6"/>
        <item x="3"/>
        <item x="8"/>
        <item x="7"/>
        <item x="1"/>
        <item x="4"/>
        <item x="5"/>
        <item x="2"/>
        <item x="0"/>
        <item t="default"/>
      </items>
    </pivotField>
    <pivotField numFmtId="164" showAll="0"/>
    <pivotField numFmtId="164" showAll="0"/>
    <pivotField numFmtId="164" showAll="0"/>
    <pivotField dataField="1" numFmtId="164" showAll="0"/>
    <pivotField numFmtId="165" showAll="0"/>
  </pivotFields>
  <rowFields count="1">
    <field x="3"/>
  </rowFields>
  <rowItems count="10">
    <i>
      <x/>
    </i>
    <i>
      <x v="1"/>
    </i>
    <i>
      <x v="2"/>
    </i>
    <i>
      <x v="3"/>
    </i>
    <i>
      <x v="4"/>
    </i>
    <i>
      <x v="5"/>
    </i>
    <i>
      <x v="6"/>
    </i>
    <i>
      <x v="7"/>
    </i>
    <i>
      <x v="8"/>
    </i>
    <i t="grand">
      <x/>
    </i>
  </rowItems>
  <colItems count="1">
    <i/>
  </colItems>
  <dataFields count="1">
    <dataField name="Sum of Total States" fld="7" baseField="3" baseItem="0"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8"/>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C4E6E5-6A36-4855-B687-B259215610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9">
    <pivotField numFmtId="14" showAll="0"/>
    <pivotField showAll="0">
      <items count="27">
        <item x="1"/>
        <item x="0"/>
        <item x="19"/>
        <item h="1" x="12"/>
        <item x="14"/>
        <item x="16"/>
        <item x="6"/>
        <item x="13"/>
        <item x="15"/>
        <item x="11"/>
        <item x="5"/>
        <item x="4"/>
        <item x="23"/>
        <item x="22"/>
        <item x="24"/>
        <item x="7"/>
        <item x="3"/>
        <item x="2"/>
        <item x="21"/>
        <item x="17"/>
        <item x="9"/>
        <item x="10"/>
        <item x="25"/>
        <item x="8"/>
        <item x="18"/>
        <item x="20"/>
        <item t="default"/>
      </items>
    </pivotField>
    <pivotField axis="axisRow" showAll="0">
      <items count="5">
        <item x="3"/>
        <item x="1"/>
        <item x="2"/>
        <item x="0"/>
        <item t="default"/>
      </items>
    </pivotField>
    <pivotField showAll="0">
      <items count="10">
        <item x="6"/>
        <item x="3"/>
        <item x="8"/>
        <item x="7"/>
        <item x="1"/>
        <item x="4"/>
        <item x="5"/>
        <item x="2"/>
        <item x="0"/>
        <item t="default"/>
      </items>
    </pivotField>
    <pivotField numFmtId="164" showAll="0"/>
    <pivotField numFmtId="164" showAll="0"/>
    <pivotField numFmtId="164" showAll="0"/>
    <pivotField dataField="1" numFmtId="164" showAll="0"/>
    <pivotField numFmtId="165" showAll="0"/>
  </pivotFields>
  <rowFields count="1">
    <field x="2"/>
  </rowFields>
  <rowItems count="5">
    <i>
      <x/>
    </i>
    <i>
      <x v="1"/>
    </i>
    <i>
      <x v="2"/>
    </i>
    <i>
      <x v="3"/>
    </i>
    <i t="grand">
      <x/>
    </i>
  </rowItems>
  <colItems count="1">
    <i/>
  </colItems>
  <dataFields count="1">
    <dataField name="Sum of Total States" fld="7" baseField="2"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D4036-0212-40C1-B7E1-BED2DDBF6B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1:N11" firstHeaderRow="1" firstDataRow="1" firstDataCol="1"/>
  <pivotFields count="9">
    <pivotField numFmtId="14" showAll="0"/>
    <pivotField showAll="0">
      <items count="27">
        <item x="1"/>
        <item x="0"/>
        <item x="19"/>
        <item h="1" x="12"/>
        <item x="14"/>
        <item x="16"/>
        <item x="6"/>
        <item x="13"/>
        <item x="15"/>
        <item x="11"/>
        <item x="5"/>
        <item x="4"/>
        <item x="23"/>
        <item x="22"/>
        <item x="24"/>
        <item x="7"/>
        <item x="3"/>
        <item x="2"/>
        <item x="21"/>
        <item x="17"/>
        <item x="9"/>
        <item x="10"/>
        <item x="25"/>
        <item x="8"/>
        <item x="18"/>
        <item x="20"/>
        <item t="default"/>
      </items>
    </pivotField>
    <pivotField showAll="0">
      <items count="5">
        <item x="3"/>
        <item x="1"/>
        <item x="2"/>
        <item x="0"/>
        <item t="default"/>
      </items>
    </pivotField>
    <pivotField axis="axisRow" showAll="0">
      <items count="10">
        <item x="6"/>
        <item x="3"/>
        <item x="8"/>
        <item x="7"/>
        <item x="1"/>
        <item x="4"/>
        <item x="5"/>
        <item x="2"/>
        <item x="0"/>
        <item t="default"/>
      </items>
    </pivotField>
    <pivotField dataField="1" numFmtId="164" showAll="0">
      <items count="23">
        <item x="5"/>
        <item x="9"/>
        <item x="10"/>
        <item x="21"/>
        <item x="18"/>
        <item x="13"/>
        <item x="15"/>
        <item x="0"/>
        <item x="3"/>
        <item x="17"/>
        <item x="12"/>
        <item x="8"/>
        <item x="19"/>
        <item x="16"/>
        <item x="4"/>
        <item x="20"/>
        <item x="1"/>
        <item x="2"/>
        <item x="11"/>
        <item x="14"/>
        <item x="7"/>
        <item x="6"/>
        <item t="default"/>
      </items>
    </pivotField>
    <pivotField numFmtId="164" showAll="0"/>
    <pivotField numFmtId="164" showAll="0"/>
    <pivotField numFmtId="164" showAll="0"/>
    <pivotField numFmtId="165" showAll="0"/>
  </pivotFields>
  <rowFields count="1">
    <field x="3"/>
  </rowFields>
  <rowItems count="10">
    <i>
      <x/>
    </i>
    <i>
      <x v="1"/>
    </i>
    <i>
      <x v="2"/>
    </i>
    <i>
      <x v="3"/>
    </i>
    <i>
      <x v="4"/>
    </i>
    <i>
      <x v="5"/>
    </i>
    <i>
      <x v="6"/>
    </i>
    <i>
      <x v="7"/>
    </i>
    <i>
      <x v="8"/>
    </i>
    <i t="grand">
      <x/>
    </i>
  </rowItems>
  <colItems count="1">
    <i/>
  </colItems>
  <dataFields count="1">
    <dataField name="Sum of Units Sold" fld="4" baseField="0" baseItem="0" numFmtId="164"/>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8"/>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3" count="1" selected="0">
            <x v="1"/>
          </reference>
        </references>
      </pivotArea>
    </chartFormat>
    <chartFormat chart="8" format="18">
      <pivotArea type="data" outline="0" fieldPosition="0">
        <references count="2">
          <reference field="4294967294" count="1" selected="0">
            <x v="0"/>
          </reference>
          <reference field="3" count="1" selected="0">
            <x v="2"/>
          </reference>
        </references>
      </pivotArea>
    </chartFormat>
    <chartFormat chart="8" format="19">
      <pivotArea type="data" outline="0" fieldPosition="0">
        <references count="2">
          <reference field="4294967294" count="1" selected="0">
            <x v="0"/>
          </reference>
          <reference field="3" count="1" selected="0">
            <x v="3"/>
          </reference>
        </references>
      </pivotArea>
    </chartFormat>
    <chartFormat chart="8" format="20">
      <pivotArea type="data" outline="0" fieldPosition="0">
        <references count="2">
          <reference field="4294967294" count="1" selected="0">
            <x v="0"/>
          </reference>
          <reference field="3" count="1" selected="0">
            <x v="4"/>
          </reference>
        </references>
      </pivotArea>
    </chartFormat>
    <chartFormat chart="8" format="21">
      <pivotArea type="data" outline="0" fieldPosition="0">
        <references count="2">
          <reference field="4294967294" count="1" selected="0">
            <x v="0"/>
          </reference>
          <reference field="3" count="1" selected="0">
            <x v="5"/>
          </reference>
        </references>
      </pivotArea>
    </chartFormat>
    <chartFormat chart="8" format="22">
      <pivotArea type="data" outline="0" fieldPosition="0">
        <references count="2">
          <reference field="4294967294" count="1" selected="0">
            <x v="0"/>
          </reference>
          <reference field="3" count="1" selected="0">
            <x v="7"/>
          </reference>
        </references>
      </pivotArea>
    </chartFormat>
    <chartFormat chart="8" format="23">
      <pivotArea type="data" outline="0" fieldPosition="0">
        <references count="2">
          <reference field="4294967294" count="1" selected="0">
            <x v="0"/>
          </reference>
          <reference field="3" count="1" selected="0">
            <x v="8"/>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E1738-719A-4B1C-A0CE-E4E9B0D861B0}" sourceName="Region">
  <pivotTables>
    <pivotTable tabId="2" name="PivotTable1"/>
    <pivotTable tabId="2" name="PivotTable2"/>
    <pivotTable tabId="2" name="PivotTable3"/>
    <pivotTable tabId="2" name="PivotTable4"/>
  </pivotTables>
  <data>
    <tabular pivotCacheId="1893348858">
      <items count="4">
        <i x="3" s="1"/>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622236-7544-422B-90EF-629660913443}" sourceName="Product">
  <pivotTables>
    <pivotTable tabId="2" name="PivotTable1"/>
    <pivotTable tabId="2" name="PivotTable2"/>
    <pivotTable tabId="2" name="PivotTable3"/>
    <pivotTable tabId="2" name="PivotTable4"/>
  </pivotTables>
  <data>
    <tabular pivotCacheId="1893348858">
      <items count="9">
        <i x="6" s="1"/>
        <i x="3" s="1"/>
        <i x="8" s="1"/>
        <i x="7" s="1"/>
        <i x="1" s="1"/>
        <i x="4" s="1"/>
        <i x="5"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1442A899-C1B4-4366-9D89-F7E9D4AFF4C1}" sourceName="Sales Person">
  <pivotTables>
    <pivotTable tabId="2" name="PivotTable3"/>
    <pivotTable tabId="2" name="PivotTable1"/>
    <pivotTable tabId="2" name="PivotTable2"/>
    <pivotTable tabId="2" name="PivotTable4"/>
  </pivotTables>
  <data>
    <tabular pivotCacheId="1893348858" showMissing="0" crossFilter="none">
      <items count="26">
        <i x="1" s="1"/>
        <i x="0" s="1"/>
        <i x="19" s="1"/>
        <i x="12"/>
        <i x="14" s="1"/>
        <i x="16" s="1"/>
        <i x="6" s="1"/>
        <i x="13" s="1"/>
        <i x="15" s="1"/>
        <i x="11" s="1"/>
        <i x="5" s="1"/>
        <i x="4" s="1"/>
        <i x="23" s="1"/>
        <i x="22" s="1"/>
        <i x="24" s="1"/>
        <i x="7" s="1"/>
        <i x="3" s="1"/>
        <i x="2" s="1"/>
        <i x="21" s="1"/>
        <i x="17" s="1"/>
        <i x="9" s="1"/>
        <i x="10" s="1"/>
        <i x="25" s="1"/>
        <i x="8" s="1"/>
        <i x="18"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60162579-E976-4128-A7A9-218D1E5011A0}" sourceName="Units Sold">
  <pivotTables>
    <pivotTable tabId="2" name="PivotTable4"/>
  </pivotTables>
  <data>
    <tabular pivotCacheId="1893348858">
      <items count="22">
        <i x="5" s="1"/>
        <i x="9" s="1"/>
        <i x="10" s="1"/>
        <i x="21" s="1"/>
        <i x="18" s="1"/>
        <i x="13" s="1"/>
        <i x="15" s="1"/>
        <i x="0" s="1"/>
        <i x="3" s="1"/>
        <i x="17" s="1"/>
        <i x="8" s="1"/>
        <i x="19" s="1"/>
        <i x="16" s="1"/>
        <i x="4" s="1"/>
        <i x="20" s="1"/>
        <i x="1" s="1"/>
        <i x="2" s="1"/>
        <i x="11" s="1"/>
        <i x="14" s="1"/>
        <i x="7" s="1"/>
        <i x="6"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3B846E7-C3E8-4BF4-ABA2-22F5F70B6140}" cache="Slicer_Region" columnCount="2" showCaption="0" style="SlicerStyleDark1" rowHeight="234950"/>
  <slicer name="Product 1" xr10:uid="{5096D25F-0063-4FE2-9A96-D21C1D42312B}" cache="Slicer_Product" caption="Product" style="SlicerStyleDark1" rowHeight="234950"/>
  <slicer name="Sales Person 2" xr10:uid="{C01B2829-1D2E-4BA4-B8A2-EE94A8B885E0}" cache="Slicer_Sales_Person" caption="Sales Person" startItem="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FA2D86-578A-4D2E-B593-0C950B3BECEB}" cache="Slicer_Region" columnCount="2" showCaption="0" rowHeight="234950"/>
  <slicer name="Product" xr10:uid="{9FC65A67-9C26-44E8-AAF0-BD46E3725827}" cache="Slicer_Product" caption="Product" rowHeight="234950"/>
  <slicer name="Sales Person" xr10:uid="{B48B7E83-492B-43BE-9DD0-26C207FA87F4}" cache="Slicer_Sales_Person" caption="Sales Person" rowHeight="234950"/>
  <slicer name="Units Sold" xr10:uid="{37452941-BDA2-4A05-83BD-91747EA17C1B}" cache="Slicer_Units_Sold" caption="Units So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80F38-BCD4-4B61-9365-2CE36D9FC259}" name="Table1" displayName="Table1" ref="A1:I27" totalsRowShown="0" headerRowDxfId="10" dataDxfId="9">
  <autoFilter ref="A1:I27" xr:uid="{D1880F38-BCD4-4B61-9365-2CE36D9FC259}"/>
  <tableColumns count="9">
    <tableColumn id="1" xr3:uid="{13B4B708-C49B-4BC6-8DEF-93A566F4F0A0}" name="Data" dataDxfId="8"/>
    <tableColumn id="2" xr3:uid="{E1DDBEDF-93D8-445F-B605-D060DCBE6877}" name="Sales Person" dataDxfId="7"/>
    <tableColumn id="3" xr3:uid="{5001BC74-A87B-4F20-8A11-939B9C53C871}" name="Region" dataDxfId="6"/>
    <tableColumn id="4" xr3:uid="{68F3B683-9210-4827-AA10-D2BA597C1C6B}" name="Product" dataDxfId="5"/>
    <tableColumn id="5" xr3:uid="{07000374-E5A0-4A7F-B2BE-FBA4BF772582}" name="Units Sold" dataDxfId="4"/>
    <tableColumn id="6" xr3:uid="{3B45206E-548B-406C-99C2-0B060562529E}" name="Unit Price" dataDxfId="3"/>
    <tableColumn id="7" xr3:uid="{4D6A07A2-56DB-471E-B2D5-F5BD62DD2D44}" name="Cost of Goods" dataDxfId="2"/>
    <tableColumn id="8" xr3:uid="{93056E9D-1E03-44B8-BDDE-6D2ADCA42021}" name="Total States" dataDxfId="1">
      <calculatedColumnFormula>SUM(F2*E2)</calculatedColumnFormula>
    </tableColumn>
    <tableColumn id="9" xr3:uid="{96C2C342-056C-47A1-A684-4BEB3BD4C0F6}" name="Profit" dataDxfId="0">
      <calculatedColumnFormula>H2-(E2*G2)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7486-77BA-4296-BD09-E04942E5932B}">
  <dimension ref="A1"/>
  <sheetViews>
    <sheetView showGridLines="0" showRowColHeaders="0" tabSelected="1" topLeftCell="A25" zoomScaleNormal="100" workbookViewId="0">
      <selection activeCell="N46" sqref="N46"/>
    </sheetView>
  </sheetViews>
  <sheetFormatPr defaultRowHeight="14.4" x14ac:dyDescent="0.3"/>
  <cols>
    <col min="8" max="8" width="12.5546875" bestFit="1" customWidth="1"/>
    <col min="9" max="9" width="17.44140625" bestFit="1" customWidth="1"/>
  </cols>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01B1-28E8-421B-A5C6-A659C458D9E8}">
  <dimension ref="A1:M28"/>
  <sheetViews>
    <sheetView workbookViewId="0">
      <selection activeCell="M10" sqref="M10"/>
    </sheetView>
  </sheetViews>
  <sheetFormatPr defaultRowHeight="14.4" x14ac:dyDescent="0.3"/>
  <cols>
    <col min="1" max="1" width="11" customWidth="1"/>
    <col min="2" max="2" width="26.5546875" customWidth="1"/>
    <col min="4" max="4" width="15" customWidth="1"/>
    <col min="5" max="5" width="12.6640625" customWidth="1"/>
    <col min="6" max="6" width="11.77734375" customWidth="1"/>
    <col min="7" max="7" width="17.77734375" customWidth="1"/>
    <col min="8" max="8" width="17.88671875" customWidth="1"/>
    <col min="9" max="9" width="24.6640625" style="1" customWidth="1"/>
    <col min="13" max="13" width="20.5546875" customWidth="1"/>
  </cols>
  <sheetData>
    <row r="1" spans="1:13" x14ac:dyDescent="0.3">
      <c r="A1" s="3" t="s">
        <v>0</v>
      </c>
      <c r="B1" s="3" t="s">
        <v>1</v>
      </c>
      <c r="C1" s="3" t="s">
        <v>2</v>
      </c>
      <c r="D1" s="3" t="s">
        <v>9</v>
      </c>
      <c r="E1" s="3" t="s">
        <v>3</v>
      </c>
      <c r="F1" s="3" t="s">
        <v>4</v>
      </c>
      <c r="G1" s="3" t="s">
        <v>5</v>
      </c>
      <c r="H1" s="3" t="s">
        <v>6</v>
      </c>
      <c r="I1" s="3" t="s">
        <v>51</v>
      </c>
    </row>
    <row r="2" spans="1:13" x14ac:dyDescent="0.3">
      <c r="A2" s="2">
        <v>43871</v>
      </c>
      <c r="B2" s="1" t="s">
        <v>12</v>
      </c>
      <c r="C2" s="1" t="s">
        <v>10</v>
      </c>
      <c r="D2" s="1" t="s">
        <v>11</v>
      </c>
      <c r="E2" s="5">
        <v>84</v>
      </c>
      <c r="F2" s="5">
        <v>6000</v>
      </c>
      <c r="G2" s="5">
        <v>4000</v>
      </c>
      <c r="H2" s="5">
        <f>SUM(F2*E2)</f>
        <v>504000</v>
      </c>
      <c r="I2" s="7">
        <f>H2-(E2*G2)</f>
        <v>168000</v>
      </c>
    </row>
    <row r="3" spans="1:13" x14ac:dyDescent="0.3">
      <c r="A3" s="2">
        <v>43872</v>
      </c>
      <c r="B3" s="1" t="s">
        <v>13</v>
      </c>
      <c r="C3" s="1" t="s">
        <v>36</v>
      </c>
      <c r="D3" s="1" t="s">
        <v>42</v>
      </c>
      <c r="E3" s="5">
        <v>128</v>
      </c>
      <c r="F3" s="5">
        <v>3500</v>
      </c>
      <c r="G3" s="5">
        <v>2500</v>
      </c>
      <c r="H3" s="5">
        <f t="shared" ref="H3:H26" si="0">SUM(F3*E3)</f>
        <v>448000</v>
      </c>
      <c r="I3" s="7">
        <f t="shared" ref="I3:I27" si="1">H3-(E3*G3)</f>
        <v>128000</v>
      </c>
      <c r="M3" s="3" t="s">
        <v>52</v>
      </c>
    </row>
    <row r="4" spans="1:13" x14ac:dyDescent="0.3">
      <c r="A4" s="2">
        <v>44208</v>
      </c>
      <c r="B4" s="1" t="s">
        <v>7</v>
      </c>
      <c r="C4" s="1" t="s">
        <v>37</v>
      </c>
      <c r="D4" s="1" t="s">
        <v>43</v>
      </c>
      <c r="E4" s="5">
        <v>136</v>
      </c>
      <c r="F4" s="5">
        <v>1200</v>
      </c>
      <c r="G4" s="5">
        <v>800</v>
      </c>
      <c r="H4" s="5">
        <f t="shared" si="0"/>
        <v>163200</v>
      </c>
      <c r="I4" s="7">
        <f t="shared" si="1"/>
        <v>54400</v>
      </c>
      <c r="M4" s="11">
        <f>SUM(H1:H27)</f>
        <v>9174200</v>
      </c>
    </row>
    <row r="5" spans="1:13" x14ac:dyDescent="0.3">
      <c r="A5" s="2">
        <v>44209</v>
      </c>
      <c r="B5" s="1" t="s">
        <v>8</v>
      </c>
      <c r="C5" s="1" t="s">
        <v>38</v>
      </c>
      <c r="D5" s="1" t="s">
        <v>44</v>
      </c>
      <c r="E5" s="5">
        <v>91</v>
      </c>
      <c r="F5" s="5">
        <v>1000</v>
      </c>
      <c r="G5" s="5">
        <v>700</v>
      </c>
      <c r="H5" s="5">
        <f t="shared" si="0"/>
        <v>91000</v>
      </c>
      <c r="I5" s="7">
        <f t="shared" si="1"/>
        <v>27300</v>
      </c>
      <c r="M5" s="3" t="s">
        <v>53</v>
      </c>
    </row>
    <row r="6" spans="1:13" x14ac:dyDescent="0.3">
      <c r="A6" s="2">
        <v>44210</v>
      </c>
      <c r="B6" s="1" t="s">
        <v>14</v>
      </c>
      <c r="C6" s="1" t="s">
        <v>10</v>
      </c>
      <c r="D6" s="1" t="s">
        <v>45</v>
      </c>
      <c r="E6" s="5">
        <v>110</v>
      </c>
      <c r="F6" s="5">
        <v>4000</v>
      </c>
      <c r="G6" s="5">
        <v>3000</v>
      </c>
      <c r="H6" s="5">
        <f t="shared" si="0"/>
        <v>440000</v>
      </c>
      <c r="I6" s="7">
        <f t="shared" si="1"/>
        <v>110000</v>
      </c>
      <c r="M6" s="11">
        <f>SUM(E2:E27)</f>
        <v>3205</v>
      </c>
    </row>
    <row r="7" spans="1:13" x14ac:dyDescent="0.3">
      <c r="A7" s="2">
        <v>44211</v>
      </c>
      <c r="B7" s="1" t="s">
        <v>15</v>
      </c>
      <c r="C7" s="1" t="s">
        <v>39</v>
      </c>
      <c r="D7" s="1" t="s">
        <v>46</v>
      </c>
      <c r="E7" s="5">
        <v>51</v>
      </c>
      <c r="F7" s="5">
        <v>1200</v>
      </c>
      <c r="G7" s="5">
        <v>800</v>
      </c>
      <c r="H7" s="5">
        <f t="shared" si="0"/>
        <v>61200</v>
      </c>
      <c r="I7" s="7">
        <f t="shared" si="1"/>
        <v>20400</v>
      </c>
      <c r="M7" s="3" t="s">
        <v>54</v>
      </c>
    </row>
    <row r="8" spans="1:13" x14ac:dyDescent="0.3">
      <c r="A8" s="2">
        <v>44212</v>
      </c>
      <c r="B8" s="1" t="s">
        <v>16</v>
      </c>
      <c r="C8" s="1" t="s">
        <v>36</v>
      </c>
      <c r="D8" s="1" t="s">
        <v>47</v>
      </c>
      <c r="E8" s="5">
        <v>798</v>
      </c>
      <c r="F8" s="5">
        <v>1000</v>
      </c>
      <c r="G8" s="5">
        <v>700</v>
      </c>
      <c r="H8" s="5">
        <f t="shared" si="0"/>
        <v>798000</v>
      </c>
      <c r="I8" s="7">
        <f t="shared" si="1"/>
        <v>239400</v>
      </c>
      <c r="M8" s="11">
        <f>SUM(I1:I27)</f>
        <v>3519000</v>
      </c>
    </row>
    <row r="9" spans="1:13" x14ac:dyDescent="0.3">
      <c r="A9" s="2">
        <v>44213</v>
      </c>
      <c r="B9" s="1" t="s">
        <v>17</v>
      </c>
      <c r="C9" s="1" t="s">
        <v>40</v>
      </c>
      <c r="D9" s="1" t="s">
        <v>48</v>
      </c>
      <c r="E9" s="5">
        <v>146</v>
      </c>
      <c r="F9" s="5">
        <v>6000</v>
      </c>
      <c r="G9" s="5">
        <v>4000</v>
      </c>
      <c r="H9" s="5">
        <f t="shared" si="0"/>
        <v>876000</v>
      </c>
      <c r="I9" s="7">
        <f t="shared" si="1"/>
        <v>292000</v>
      </c>
      <c r="M9" s="3" t="s">
        <v>55</v>
      </c>
    </row>
    <row r="10" spans="1:13" x14ac:dyDescent="0.3">
      <c r="A10" s="2">
        <v>44239</v>
      </c>
      <c r="B10" s="1" t="s">
        <v>18</v>
      </c>
      <c r="C10" s="1" t="s">
        <v>10</v>
      </c>
      <c r="D10" s="1" t="s">
        <v>49</v>
      </c>
      <c r="E10" s="5">
        <v>101</v>
      </c>
      <c r="F10" s="5">
        <v>600</v>
      </c>
      <c r="G10" s="5">
        <v>800</v>
      </c>
      <c r="H10" s="5">
        <f t="shared" si="0"/>
        <v>60600</v>
      </c>
      <c r="I10" s="7">
        <f t="shared" si="1"/>
        <v>-20200</v>
      </c>
      <c r="M10" s="11">
        <f>AVERAGE(H2:H27)</f>
        <v>352853.84615384613</v>
      </c>
    </row>
    <row r="11" spans="1:13" x14ac:dyDescent="0.3">
      <c r="A11" s="2">
        <v>43874</v>
      </c>
      <c r="B11" s="1" t="s">
        <v>19</v>
      </c>
      <c r="C11" s="4" t="s">
        <v>39</v>
      </c>
      <c r="D11" s="1" t="s">
        <v>50</v>
      </c>
      <c r="E11" s="5">
        <v>52</v>
      </c>
      <c r="F11" s="5">
        <v>6000</v>
      </c>
      <c r="G11" s="5">
        <v>700</v>
      </c>
      <c r="H11" s="5">
        <f t="shared" si="0"/>
        <v>312000</v>
      </c>
      <c r="I11" s="7">
        <f t="shared" si="1"/>
        <v>275600</v>
      </c>
    </row>
    <row r="12" spans="1:13" x14ac:dyDescent="0.3">
      <c r="A12" s="2">
        <v>43903</v>
      </c>
      <c r="B12" s="1" t="s">
        <v>20</v>
      </c>
      <c r="C12" s="1" t="s">
        <v>41</v>
      </c>
      <c r="D12" s="1" t="s">
        <v>42</v>
      </c>
      <c r="E12" s="5">
        <v>55</v>
      </c>
      <c r="F12" s="5">
        <v>12000</v>
      </c>
      <c r="G12" s="5">
        <v>2500</v>
      </c>
      <c r="H12" s="5">
        <f t="shared" si="0"/>
        <v>660000</v>
      </c>
      <c r="I12" s="7">
        <f t="shared" si="1"/>
        <v>522500</v>
      </c>
    </row>
    <row r="13" spans="1:13" x14ac:dyDescent="0.3">
      <c r="A13" s="2">
        <v>43934</v>
      </c>
      <c r="B13" s="1" t="s">
        <v>21</v>
      </c>
      <c r="C13" s="1" t="s">
        <v>37</v>
      </c>
      <c r="D13" s="1" t="s">
        <v>47</v>
      </c>
      <c r="E13" s="5">
        <v>137</v>
      </c>
      <c r="F13" s="5">
        <v>1000</v>
      </c>
      <c r="G13" s="5">
        <v>3000</v>
      </c>
      <c r="H13" s="5">
        <f t="shared" si="0"/>
        <v>137000</v>
      </c>
      <c r="I13" s="7">
        <f t="shared" si="1"/>
        <v>-274000</v>
      </c>
    </row>
    <row r="14" spans="1:13" x14ac:dyDescent="0.3">
      <c r="A14" s="2">
        <v>43964</v>
      </c>
      <c r="B14" s="1" t="s">
        <v>22</v>
      </c>
      <c r="C14" s="1" t="s">
        <v>41</v>
      </c>
      <c r="D14" s="1" t="s">
        <v>48</v>
      </c>
      <c r="E14" s="5">
        <v>96</v>
      </c>
      <c r="F14" s="5">
        <v>3500</v>
      </c>
      <c r="G14" s="5">
        <v>2500</v>
      </c>
      <c r="H14" s="5">
        <f t="shared" si="0"/>
        <v>336000</v>
      </c>
      <c r="I14" s="7">
        <f t="shared" si="1"/>
        <v>96000</v>
      </c>
    </row>
    <row r="15" spans="1:13" x14ac:dyDescent="0.3">
      <c r="A15" s="2">
        <v>43995</v>
      </c>
      <c r="B15" s="1" t="s">
        <v>23</v>
      </c>
      <c r="C15" s="1" t="s">
        <v>40</v>
      </c>
      <c r="D15" s="1" t="s">
        <v>49</v>
      </c>
      <c r="E15" s="5">
        <v>52</v>
      </c>
      <c r="F15" s="5">
        <v>400</v>
      </c>
      <c r="G15" s="5">
        <v>3000</v>
      </c>
      <c r="H15" s="5">
        <f t="shared" si="0"/>
        <v>20800</v>
      </c>
      <c r="I15" s="7">
        <f t="shared" si="1"/>
        <v>-135200</v>
      </c>
    </row>
    <row r="16" spans="1:13" x14ac:dyDescent="0.3">
      <c r="A16" s="2">
        <v>44245</v>
      </c>
      <c r="B16" s="1" t="s">
        <v>24</v>
      </c>
      <c r="C16" s="1" t="s">
        <v>10</v>
      </c>
      <c r="D16" s="1" t="s">
        <v>50</v>
      </c>
      <c r="E16" s="5">
        <v>76</v>
      </c>
      <c r="F16" s="5">
        <v>700</v>
      </c>
      <c r="G16" s="5">
        <v>800</v>
      </c>
      <c r="H16" s="5">
        <f t="shared" si="0"/>
        <v>53200</v>
      </c>
      <c r="I16" s="7">
        <f t="shared" si="1"/>
        <v>-7600</v>
      </c>
    </row>
    <row r="17" spans="1:9" x14ac:dyDescent="0.3">
      <c r="A17" s="2">
        <v>44246</v>
      </c>
      <c r="B17" s="1" t="s">
        <v>25</v>
      </c>
      <c r="C17" s="1" t="s">
        <v>10</v>
      </c>
      <c r="D17" s="1" t="s">
        <v>42</v>
      </c>
      <c r="E17" s="5">
        <v>145</v>
      </c>
      <c r="F17" s="5">
        <v>7000</v>
      </c>
      <c r="G17" s="5">
        <v>700</v>
      </c>
      <c r="H17" s="5">
        <f t="shared" si="0"/>
        <v>1015000</v>
      </c>
      <c r="I17" s="7">
        <f t="shared" si="1"/>
        <v>913500</v>
      </c>
    </row>
    <row r="18" spans="1:9" x14ac:dyDescent="0.3">
      <c r="A18" s="2">
        <v>44247</v>
      </c>
      <c r="B18" s="1" t="s">
        <v>26</v>
      </c>
      <c r="C18" s="1" t="s">
        <v>40</v>
      </c>
      <c r="D18" s="1" t="s">
        <v>47</v>
      </c>
      <c r="E18" s="5">
        <v>83</v>
      </c>
      <c r="F18" s="5">
        <v>3000</v>
      </c>
      <c r="G18" s="5">
        <v>7000</v>
      </c>
      <c r="H18" s="5">
        <f t="shared" si="0"/>
        <v>249000</v>
      </c>
      <c r="I18" s="7">
        <f t="shared" si="1"/>
        <v>-332000</v>
      </c>
    </row>
    <row r="19" spans="1:9" x14ac:dyDescent="0.3">
      <c r="A19" s="2">
        <v>44248</v>
      </c>
      <c r="B19" s="1" t="s">
        <v>27</v>
      </c>
      <c r="C19" s="1" t="s">
        <v>37</v>
      </c>
      <c r="D19" s="1" t="s">
        <v>48</v>
      </c>
      <c r="E19" s="5">
        <v>91</v>
      </c>
      <c r="F19" s="5">
        <v>4000</v>
      </c>
      <c r="G19" s="5">
        <v>3000</v>
      </c>
      <c r="H19" s="5">
        <f t="shared" si="0"/>
        <v>364000</v>
      </c>
      <c r="I19" s="7">
        <f t="shared" si="1"/>
        <v>91000</v>
      </c>
    </row>
    <row r="20" spans="1:9" x14ac:dyDescent="0.3">
      <c r="A20" s="2">
        <v>44249</v>
      </c>
      <c r="B20" s="1" t="s">
        <v>28</v>
      </c>
      <c r="C20" s="1" t="s">
        <v>36</v>
      </c>
      <c r="D20" s="1" t="s">
        <v>49</v>
      </c>
      <c r="E20" s="5">
        <v>108</v>
      </c>
      <c r="F20" s="5">
        <v>600</v>
      </c>
      <c r="G20" s="5">
        <v>400</v>
      </c>
      <c r="H20" s="5">
        <f t="shared" si="0"/>
        <v>64800</v>
      </c>
      <c r="I20" s="7">
        <f t="shared" si="1"/>
        <v>21600</v>
      </c>
    </row>
    <row r="21" spans="1:9" x14ac:dyDescent="0.3">
      <c r="A21" s="2">
        <v>43890</v>
      </c>
      <c r="B21" s="1" t="s">
        <v>29</v>
      </c>
      <c r="C21" s="1" t="s">
        <v>38</v>
      </c>
      <c r="D21" s="1" t="s">
        <v>50</v>
      </c>
      <c r="E21" s="5">
        <v>92</v>
      </c>
      <c r="F21" s="5">
        <v>1000</v>
      </c>
      <c r="G21" s="5">
        <v>4000</v>
      </c>
      <c r="H21" s="5">
        <f t="shared" si="0"/>
        <v>92000</v>
      </c>
      <c r="I21" s="7">
        <f t="shared" si="1"/>
        <v>-276000</v>
      </c>
    </row>
    <row r="22" spans="1:9" x14ac:dyDescent="0.3">
      <c r="A22" s="2">
        <v>43891</v>
      </c>
      <c r="B22" s="1" t="s">
        <v>30</v>
      </c>
      <c r="C22" s="1" t="s">
        <v>10</v>
      </c>
      <c r="D22" s="1" t="s">
        <v>42</v>
      </c>
      <c r="E22" s="5">
        <v>71</v>
      </c>
      <c r="F22" s="5">
        <v>10000</v>
      </c>
      <c r="G22" s="5">
        <v>400</v>
      </c>
      <c r="H22" s="5">
        <f t="shared" si="0"/>
        <v>710000</v>
      </c>
      <c r="I22" s="7">
        <f t="shared" si="1"/>
        <v>681600</v>
      </c>
    </row>
    <row r="23" spans="1:9" x14ac:dyDescent="0.3">
      <c r="A23" s="2">
        <v>44257</v>
      </c>
      <c r="B23" s="1" t="s">
        <v>31</v>
      </c>
      <c r="C23" s="1" t="s">
        <v>37</v>
      </c>
      <c r="D23" s="1" t="s">
        <v>48</v>
      </c>
      <c r="E23" s="5">
        <v>103</v>
      </c>
      <c r="F23" s="5">
        <v>4000</v>
      </c>
      <c r="G23" s="5">
        <v>700</v>
      </c>
      <c r="H23" s="5">
        <f t="shared" si="0"/>
        <v>412000</v>
      </c>
      <c r="I23" s="7">
        <f t="shared" si="1"/>
        <v>339900</v>
      </c>
    </row>
    <row r="24" spans="1:9" x14ac:dyDescent="0.3">
      <c r="A24" s="2">
        <v>43954</v>
      </c>
      <c r="B24" s="1" t="s">
        <v>32</v>
      </c>
      <c r="C24" s="1" t="s">
        <v>36</v>
      </c>
      <c r="D24" s="1" t="s">
        <v>49</v>
      </c>
      <c r="E24" s="5">
        <v>114</v>
      </c>
      <c r="F24" s="5">
        <v>600</v>
      </c>
      <c r="G24" s="5">
        <v>2000</v>
      </c>
      <c r="H24" s="5">
        <f t="shared" si="0"/>
        <v>68400</v>
      </c>
      <c r="I24" s="7">
        <f t="shared" si="1"/>
        <v>-159600</v>
      </c>
    </row>
    <row r="25" spans="1:9" x14ac:dyDescent="0.3">
      <c r="A25" s="2">
        <v>43894</v>
      </c>
      <c r="B25" s="1" t="s">
        <v>33</v>
      </c>
      <c r="C25" s="1" t="s">
        <v>38</v>
      </c>
      <c r="D25" s="1" t="s">
        <v>50</v>
      </c>
      <c r="E25" s="5">
        <v>136</v>
      </c>
      <c r="F25" s="5">
        <v>6000</v>
      </c>
      <c r="G25" s="5">
        <v>2500</v>
      </c>
      <c r="H25" s="5">
        <f t="shared" si="0"/>
        <v>816000</v>
      </c>
      <c r="I25" s="7">
        <f t="shared" si="1"/>
        <v>476000</v>
      </c>
    </row>
    <row r="26" spans="1:9" x14ac:dyDescent="0.3">
      <c r="A26" s="2">
        <v>43895</v>
      </c>
      <c r="B26" s="1" t="s">
        <v>34</v>
      </c>
      <c r="C26" s="1" t="s">
        <v>37</v>
      </c>
      <c r="D26" s="1" t="s">
        <v>42</v>
      </c>
      <c r="E26" s="5">
        <v>91</v>
      </c>
      <c r="F26" s="5">
        <v>4000</v>
      </c>
      <c r="G26" s="5">
        <v>1200</v>
      </c>
      <c r="H26" s="5">
        <f t="shared" si="0"/>
        <v>364000</v>
      </c>
      <c r="I26" s="7">
        <f t="shared" si="1"/>
        <v>254800</v>
      </c>
    </row>
    <row r="27" spans="1:9" x14ac:dyDescent="0.3">
      <c r="A27" s="2">
        <v>43922</v>
      </c>
      <c r="B27" s="1" t="s">
        <v>35</v>
      </c>
      <c r="C27" s="1" t="s">
        <v>36</v>
      </c>
      <c r="D27" s="1" t="s">
        <v>48</v>
      </c>
      <c r="E27" s="5">
        <v>58</v>
      </c>
      <c r="F27" s="5">
        <v>1000</v>
      </c>
      <c r="G27" s="5">
        <v>800</v>
      </c>
      <c r="H27" s="5">
        <f>SUM(F27*E27)</f>
        <v>58000</v>
      </c>
      <c r="I27" s="7">
        <f t="shared" si="1"/>
        <v>11600</v>
      </c>
    </row>
    <row r="28" spans="1:9" x14ac:dyDescent="0.3">
      <c r="I28"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9122-4249-4DAB-B426-FB087B437561}">
  <dimension ref="A1:N27"/>
  <sheetViews>
    <sheetView workbookViewId="0">
      <selection activeCell="M1" sqref="M1:N11"/>
    </sheetView>
  </sheetViews>
  <sheetFormatPr defaultRowHeight="14.4" x14ac:dyDescent="0.3"/>
  <cols>
    <col min="1" max="1" width="12.5546875" bestFit="1" customWidth="1"/>
    <col min="2" max="2" width="17.44140625" bestFit="1" customWidth="1"/>
    <col min="5" max="5" width="12.5546875" bestFit="1" customWidth="1"/>
    <col min="6" max="6" width="17.44140625" bestFit="1" customWidth="1"/>
    <col min="10" max="10" width="13.33203125" bestFit="1" customWidth="1"/>
    <col min="11" max="11" width="17.44140625" bestFit="1" customWidth="1"/>
    <col min="13" max="13" width="12.5546875" bestFit="1" customWidth="1"/>
    <col min="14" max="14" width="16" customWidth="1"/>
  </cols>
  <sheetData>
    <row r="1" spans="1:14" x14ac:dyDescent="0.3">
      <c r="A1" s="8" t="s">
        <v>56</v>
      </c>
      <c r="B1" t="s">
        <v>58</v>
      </c>
      <c r="E1" s="8" t="s">
        <v>56</v>
      </c>
      <c r="F1" t="s">
        <v>58</v>
      </c>
      <c r="J1" s="8" t="s">
        <v>56</v>
      </c>
      <c r="K1" t="s">
        <v>58</v>
      </c>
      <c r="M1" s="8" t="s">
        <v>56</v>
      </c>
      <c r="N1" t="s">
        <v>59</v>
      </c>
    </row>
    <row r="2" spans="1:14" x14ac:dyDescent="0.3">
      <c r="A2" s="9" t="s">
        <v>38</v>
      </c>
      <c r="B2" s="10">
        <v>2144800</v>
      </c>
      <c r="E2" s="9" t="s">
        <v>48</v>
      </c>
      <c r="F2" s="10">
        <v>1710000</v>
      </c>
      <c r="J2" s="9" t="s">
        <v>13</v>
      </c>
      <c r="K2" s="10">
        <v>448000</v>
      </c>
      <c r="M2" s="9" t="s">
        <v>48</v>
      </c>
      <c r="N2" s="6">
        <v>398</v>
      </c>
    </row>
    <row r="3" spans="1:14" x14ac:dyDescent="0.3">
      <c r="A3" s="9" t="s">
        <v>36</v>
      </c>
      <c r="B3" s="10">
        <v>2097200</v>
      </c>
      <c r="E3" s="9" t="s">
        <v>45</v>
      </c>
      <c r="F3" s="10">
        <v>440000</v>
      </c>
      <c r="J3" s="9" t="s">
        <v>12</v>
      </c>
      <c r="K3" s="10">
        <v>504000</v>
      </c>
      <c r="M3" s="9" t="s">
        <v>45</v>
      </c>
      <c r="N3" s="6">
        <v>110</v>
      </c>
    </row>
    <row r="4" spans="1:14" x14ac:dyDescent="0.3">
      <c r="A4" s="9" t="s">
        <v>37</v>
      </c>
      <c r="B4" s="10">
        <v>1813400</v>
      </c>
      <c r="E4" s="9" t="s">
        <v>50</v>
      </c>
      <c r="F4" s="10">
        <v>1273200</v>
      </c>
      <c r="J4" s="9" t="s">
        <v>29</v>
      </c>
      <c r="K4" s="10">
        <v>92000</v>
      </c>
      <c r="M4" s="9" t="s">
        <v>50</v>
      </c>
      <c r="N4" s="6">
        <v>356</v>
      </c>
    </row>
    <row r="5" spans="1:14" x14ac:dyDescent="0.3">
      <c r="A5" s="9" t="s">
        <v>10</v>
      </c>
      <c r="B5" s="10">
        <v>2782800</v>
      </c>
      <c r="E5" s="9" t="s">
        <v>49</v>
      </c>
      <c r="F5" s="10">
        <v>214600</v>
      </c>
      <c r="J5" s="9" t="s">
        <v>24</v>
      </c>
      <c r="K5" s="10">
        <v>53200</v>
      </c>
      <c r="M5" s="9" t="s">
        <v>49</v>
      </c>
      <c r="N5" s="6">
        <v>375</v>
      </c>
    </row>
    <row r="6" spans="1:14" x14ac:dyDescent="0.3">
      <c r="A6" s="9" t="s">
        <v>57</v>
      </c>
      <c r="B6" s="10">
        <v>8838200</v>
      </c>
      <c r="E6" s="9" t="s">
        <v>42</v>
      </c>
      <c r="F6" s="10">
        <v>3197000</v>
      </c>
      <c r="J6" s="9" t="s">
        <v>26</v>
      </c>
      <c r="K6" s="10">
        <v>249000</v>
      </c>
      <c r="M6" s="9" t="s">
        <v>42</v>
      </c>
      <c r="N6" s="6">
        <v>490</v>
      </c>
    </row>
    <row r="7" spans="1:14" x14ac:dyDescent="0.3">
      <c r="E7" s="9" t="s">
        <v>46</v>
      </c>
      <c r="F7" s="10">
        <v>61200</v>
      </c>
      <c r="J7" s="9" t="s">
        <v>16</v>
      </c>
      <c r="K7" s="10">
        <v>798000</v>
      </c>
      <c r="M7" s="9" t="s">
        <v>46</v>
      </c>
      <c r="N7" s="6">
        <v>51</v>
      </c>
    </row>
    <row r="8" spans="1:14" x14ac:dyDescent="0.3">
      <c r="E8" s="9" t="s">
        <v>47</v>
      </c>
      <c r="F8" s="10">
        <v>1184000</v>
      </c>
      <c r="J8" s="9" t="s">
        <v>23</v>
      </c>
      <c r="K8" s="10">
        <v>20800</v>
      </c>
      <c r="M8" s="9" t="s">
        <v>47</v>
      </c>
      <c r="N8" s="6">
        <v>1018</v>
      </c>
    </row>
    <row r="9" spans="1:14" x14ac:dyDescent="0.3">
      <c r="E9" s="9" t="s">
        <v>43</v>
      </c>
      <c r="F9" s="10">
        <v>163200</v>
      </c>
      <c r="J9" s="9" t="s">
        <v>25</v>
      </c>
      <c r="K9" s="10">
        <v>1015000</v>
      </c>
      <c r="M9" s="9" t="s">
        <v>43</v>
      </c>
      <c r="N9" s="6">
        <v>136</v>
      </c>
    </row>
    <row r="10" spans="1:14" x14ac:dyDescent="0.3">
      <c r="E10" s="9" t="s">
        <v>11</v>
      </c>
      <c r="F10" s="10">
        <v>595000</v>
      </c>
      <c r="J10" s="9" t="s">
        <v>21</v>
      </c>
      <c r="K10" s="10">
        <v>137000</v>
      </c>
      <c r="M10" s="9" t="s">
        <v>11</v>
      </c>
      <c r="N10" s="6">
        <v>175</v>
      </c>
    </row>
    <row r="11" spans="1:14" x14ac:dyDescent="0.3">
      <c r="E11" s="9" t="s">
        <v>57</v>
      </c>
      <c r="F11" s="10">
        <v>8838200</v>
      </c>
      <c r="J11" s="9" t="s">
        <v>15</v>
      </c>
      <c r="K11" s="10">
        <v>61200</v>
      </c>
      <c r="M11" s="9" t="s">
        <v>57</v>
      </c>
      <c r="N11" s="6">
        <v>3109</v>
      </c>
    </row>
    <row r="12" spans="1:14" x14ac:dyDescent="0.3">
      <c r="J12" s="9" t="s">
        <v>14</v>
      </c>
      <c r="K12" s="10">
        <v>440000</v>
      </c>
    </row>
    <row r="13" spans="1:14" x14ac:dyDescent="0.3">
      <c r="J13" s="9" t="s">
        <v>33</v>
      </c>
      <c r="K13" s="10">
        <v>816000</v>
      </c>
    </row>
    <row r="14" spans="1:14" x14ac:dyDescent="0.3">
      <c r="J14" s="9" t="s">
        <v>32</v>
      </c>
      <c r="K14" s="10">
        <v>68400</v>
      </c>
    </row>
    <row r="15" spans="1:14" x14ac:dyDescent="0.3">
      <c r="J15" s="9" t="s">
        <v>34</v>
      </c>
      <c r="K15" s="10">
        <v>364000</v>
      </c>
    </row>
    <row r="16" spans="1:14" x14ac:dyDescent="0.3">
      <c r="J16" s="9" t="s">
        <v>17</v>
      </c>
      <c r="K16" s="10">
        <v>876000</v>
      </c>
    </row>
    <row r="17" spans="10:11" x14ac:dyDescent="0.3">
      <c r="J17" s="9" t="s">
        <v>8</v>
      </c>
      <c r="K17" s="10">
        <v>91000</v>
      </c>
    </row>
    <row r="18" spans="10:11" x14ac:dyDescent="0.3">
      <c r="J18" s="9" t="s">
        <v>7</v>
      </c>
      <c r="K18" s="10">
        <v>163200</v>
      </c>
    </row>
    <row r="19" spans="10:11" x14ac:dyDescent="0.3">
      <c r="J19" s="9" t="s">
        <v>31</v>
      </c>
      <c r="K19" s="10">
        <v>412000</v>
      </c>
    </row>
    <row r="20" spans="10:11" x14ac:dyDescent="0.3">
      <c r="J20" s="9" t="s">
        <v>27</v>
      </c>
      <c r="K20" s="10">
        <v>364000</v>
      </c>
    </row>
    <row r="21" spans="10:11" x14ac:dyDescent="0.3">
      <c r="J21" s="9" t="s">
        <v>19</v>
      </c>
      <c r="K21" s="10">
        <v>312000</v>
      </c>
    </row>
    <row r="22" spans="10:11" x14ac:dyDescent="0.3">
      <c r="J22" s="9" t="s">
        <v>20</v>
      </c>
      <c r="K22" s="10">
        <v>660000</v>
      </c>
    </row>
    <row r="23" spans="10:11" x14ac:dyDescent="0.3">
      <c r="J23" s="9" t="s">
        <v>35</v>
      </c>
      <c r="K23" s="10">
        <v>58000</v>
      </c>
    </row>
    <row r="24" spans="10:11" x14ac:dyDescent="0.3">
      <c r="J24" s="9" t="s">
        <v>18</v>
      </c>
      <c r="K24" s="10">
        <v>60600</v>
      </c>
    </row>
    <row r="25" spans="10:11" x14ac:dyDescent="0.3">
      <c r="J25" s="9" t="s">
        <v>28</v>
      </c>
      <c r="K25" s="10">
        <v>64800</v>
      </c>
    </row>
    <row r="26" spans="10:11" x14ac:dyDescent="0.3">
      <c r="J26" s="9" t="s">
        <v>30</v>
      </c>
      <c r="K26" s="10">
        <v>710000</v>
      </c>
    </row>
    <row r="27" spans="10:11" x14ac:dyDescent="0.3">
      <c r="J27" s="9" t="s">
        <v>57</v>
      </c>
      <c r="K27" s="10">
        <v>8838200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Sales persons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atchayakaliyaraj496@gmail.com</dc:creator>
  <cp:lastModifiedBy>atchayakaliyaraj496@gmail.com</cp:lastModifiedBy>
  <dcterms:created xsi:type="dcterms:W3CDTF">2025-12-14T08:53:44Z</dcterms:created>
  <dcterms:modified xsi:type="dcterms:W3CDTF">2025-12-26T07:53:56Z</dcterms:modified>
</cp:coreProperties>
</file>